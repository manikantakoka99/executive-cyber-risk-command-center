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amgo\Downloads\"/>
    </mc:Choice>
  </mc:AlternateContent>
  <xr:revisionPtr revIDLastSave="0" documentId="13_ncr:1_{93832859-5D31-49BA-A9F3-F7BEE924E4D2}" xr6:coauthVersionLast="47" xr6:coauthVersionMax="47" xr10:uidLastSave="{00000000-0000-0000-0000-000000000000}"/>
  <bookViews>
    <workbookView xWindow="-120" yWindow="-120" windowWidth="20730" windowHeight="11040" tabRatio="500" activeTab="3" xr2:uid="{00000000-000D-0000-FFFF-FFFF00000000}"/>
  </bookViews>
  <sheets>
    <sheet name="Overview" sheetId="1" r:id="rId1"/>
    <sheet name="Pipeline Layers" sheetId="2" r:id="rId2"/>
    <sheet name="Categories" sheetId="3" r:id="rId3"/>
    <sheet name="Products and Samples" sheetId="4" r:id="rId4"/>
    <sheet name="Normalized Signals" sheetId="5" r:id="rId5"/>
    <sheet name="Domain Risk Calc" sheetId="6" r:id="rId6"/>
  </sheets>
  <definedNames>
    <definedName name="_xlnm._FilterDatabase" localSheetId="3" hidden="1">'Products and Samples'!$A$1:$J$128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52" i="5" l="1"/>
  <c r="F52" i="5"/>
  <c r="G51" i="5"/>
  <c r="F51" i="5"/>
  <c r="G50" i="5"/>
  <c r="F50" i="5"/>
  <c r="G49" i="5"/>
  <c r="F49" i="5"/>
  <c r="G48" i="5"/>
  <c r="F48" i="5"/>
  <c r="G47" i="5"/>
  <c r="F47" i="5"/>
  <c r="G46" i="5"/>
  <c r="F46" i="5"/>
  <c r="G45" i="5"/>
  <c r="F45" i="5"/>
  <c r="G44" i="5"/>
  <c r="F44" i="5"/>
  <c r="G43" i="5"/>
  <c r="F43" i="5"/>
  <c r="G42" i="5"/>
  <c r="F42" i="5"/>
  <c r="G41" i="5"/>
  <c r="F41" i="5"/>
  <c r="G40" i="5"/>
  <c r="F40" i="5"/>
  <c r="G39" i="5"/>
  <c r="F39" i="5"/>
  <c r="G38" i="5"/>
  <c r="F38" i="5"/>
  <c r="G37" i="5"/>
  <c r="F37" i="5"/>
  <c r="G36" i="5"/>
  <c r="F36" i="5"/>
  <c r="G35" i="5"/>
  <c r="F35" i="5"/>
  <c r="G34" i="5"/>
  <c r="F34" i="5"/>
  <c r="G33" i="5"/>
  <c r="F33" i="5"/>
  <c r="G32" i="5"/>
  <c r="F32" i="5"/>
  <c r="G31" i="5"/>
  <c r="F31" i="5"/>
  <c r="G30" i="5"/>
  <c r="F30" i="5"/>
  <c r="G29" i="5"/>
  <c r="F29" i="5"/>
  <c r="G28" i="5"/>
  <c r="F28" i="5"/>
  <c r="G27" i="5"/>
  <c r="F27" i="5"/>
  <c r="G26" i="5"/>
  <c r="F26" i="5"/>
  <c r="G25" i="5"/>
  <c r="F25" i="5"/>
  <c r="G24" i="5"/>
  <c r="F24" i="5"/>
  <c r="G23" i="5"/>
  <c r="F23" i="5"/>
  <c r="G22" i="5"/>
  <c r="F22" i="5"/>
  <c r="G21" i="5"/>
  <c r="F21" i="5"/>
  <c r="G20" i="5"/>
  <c r="F20" i="5"/>
  <c r="G19" i="5"/>
  <c r="F19" i="5"/>
  <c r="G18" i="5"/>
  <c r="F18" i="5"/>
  <c r="G17" i="5"/>
  <c r="F17" i="5"/>
  <c r="G16" i="5"/>
  <c r="F16" i="5"/>
  <c r="G15" i="5"/>
  <c r="F15" i="5"/>
  <c r="G14" i="5"/>
  <c r="F14" i="5"/>
  <c r="G13" i="5"/>
  <c r="F13" i="5"/>
  <c r="G12" i="5"/>
  <c r="F12" i="5"/>
  <c r="G11" i="5"/>
  <c r="F11" i="5"/>
  <c r="G10" i="5"/>
  <c r="F10" i="5"/>
  <c r="G9" i="5"/>
  <c r="F9" i="5"/>
  <c r="G8" i="5"/>
  <c r="F8" i="5"/>
  <c r="G7" i="5"/>
  <c r="F7" i="5"/>
  <c r="G6" i="5"/>
  <c r="F6" i="5"/>
  <c r="G5" i="5"/>
  <c r="F5" i="5"/>
  <c r="E9" i="2"/>
  <c r="E8" i="2"/>
  <c r="E7" i="2"/>
  <c r="E6" i="2"/>
  <c r="E5" i="2"/>
  <c r="C8" i="1"/>
  <c r="C7" i="1"/>
  <c r="C6" i="1"/>
  <c r="H15" i="5" l="1"/>
  <c r="I15" i="5" s="1"/>
  <c r="K15" i="5" s="1"/>
  <c r="H28" i="5"/>
  <c r="I28" i="5" s="1"/>
  <c r="K28" i="5" s="1"/>
  <c r="H40" i="5"/>
  <c r="I40" i="5" s="1"/>
  <c r="K40" i="5" s="1"/>
  <c r="H37" i="5"/>
  <c r="I37" i="5" s="1"/>
  <c r="H34" i="5"/>
  <c r="I34" i="5" s="1"/>
  <c r="K34" i="5" s="1"/>
  <c r="H29" i="5"/>
  <c r="I29" i="5" s="1"/>
  <c r="H22" i="5"/>
  <c r="I22" i="5" s="1"/>
  <c r="K22" i="5" s="1"/>
  <c r="H9" i="5"/>
  <c r="I9" i="5" s="1"/>
  <c r="H46" i="5"/>
  <c r="I46" i="5" s="1"/>
  <c r="K46" i="5" s="1"/>
  <c r="H45" i="5"/>
  <c r="I45" i="5" s="1"/>
  <c r="H44" i="5"/>
  <c r="I44" i="5" s="1"/>
  <c r="K44" i="5" s="1"/>
  <c r="H43" i="5"/>
  <c r="I43" i="5" s="1"/>
  <c r="K43" i="5" s="1"/>
  <c r="H42" i="5"/>
  <c r="I42" i="5" s="1"/>
  <c r="K42" i="5" s="1"/>
  <c r="H41" i="5"/>
  <c r="I41" i="5" s="1"/>
  <c r="H36" i="5"/>
  <c r="I36" i="5" s="1"/>
  <c r="K36" i="5" s="1"/>
  <c r="H35" i="5"/>
  <c r="I35" i="5" s="1"/>
  <c r="K35" i="5" s="1"/>
  <c r="H39" i="5"/>
  <c r="I39" i="5" s="1"/>
  <c r="K39" i="5" s="1"/>
  <c r="H38" i="5"/>
  <c r="I38" i="5" s="1"/>
  <c r="K38" i="5" s="1"/>
  <c r="H33" i="5"/>
  <c r="I33" i="5" s="1"/>
  <c r="H32" i="5"/>
  <c r="I32" i="5" s="1"/>
  <c r="K32" i="5" s="1"/>
  <c r="H31" i="5"/>
  <c r="I31" i="5" s="1"/>
  <c r="K31" i="5" s="1"/>
  <c r="H27" i="5"/>
  <c r="I27" i="5" s="1"/>
  <c r="K27" i="5" s="1"/>
  <c r="H26" i="5"/>
  <c r="I26" i="5" s="1"/>
  <c r="K26" i="5" s="1"/>
  <c r="H25" i="5"/>
  <c r="I25" i="5" s="1"/>
  <c r="H24" i="5"/>
  <c r="I24" i="5" s="1"/>
  <c r="K24" i="5" s="1"/>
  <c r="H23" i="5"/>
  <c r="I23" i="5" s="1"/>
  <c r="K23" i="5" s="1"/>
  <c r="H21" i="5"/>
  <c r="I21" i="5" s="1"/>
  <c r="H20" i="5"/>
  <c r="I20" i="5" s="1"/>
  <c r="K20" i="5" s="1"/>
  <c r="H19" i="5"/>
  <c r="I19" i="5" s="1"/>
  <c r="K19" i="5" s="1"/>
  <c r="H18" i="5"/>
  <c r="I18" i="5" s="1"/>
  <c r="K18" i="5" s="1"/>
  <c r="H17" i="5"/>
  <c r="I17" i="5" s="1"/>
  <c r="H16" i="5"/>
  <c r="I16" i="5" s="1"/>
  <c r="H48" i="5"/>
  <c r="I48" i="5" s="1"/>
  <c r="K48" i="5" s="1"/>
  <c r="H47" i="5"/>
  <c r="I47" i="5" s="1"/>
  <c r="K47" i="5" s="1"/>
  <c r="H30" i="5"/>
  <c r="I30" i="5" s="1"/>
  <c r="K30" i="5" s="1"/>
  <c r="H14" i="5"/>
  <c r="I14" i="5" s="1"/>
  <c r="K14" i="5" s="1"/>
  <c r="H13" i="5"/>
  <c r="I13" i="5" s="1"/>
  <c r="K13" i="5" s="1"/>
  <c r="H12" i="5"/>
  <c r="I12" i="5" s="1"/>
  <c r="K12" i="5" s="1"/>
  <c r="H11" i="5"/>
  <c r="I11" i="5" s="1"/>
  <c r="K11" i="5" s="1"/>
  <c r="H10" i="5"/>
  <c r="I10" i="5" s="1"/>
  <c r="K10" i="5" s="1"/>
  <c r="H8" i="5"/>
  <c r="I8" i="5" s="1"/>
  <c r="K8" i="5" s="1"/>
  <c r="H7" i="5"/>
  <c r="I7" i="5" s="1"/>
  <c r="K7" i="5" s="1"/>
  <c r="H6" i="5"/>
  <c r="I6" i="5" s="1"/>
  <c r="K6" i="5" s="1"/>
  <c r="H5" i="5"/>
  <c r="I5" i="5" s="1"/>
  <c r="H52" i="5"/>
  <c r="I52" i="5" s="1"/>
  <c r="K52" i="5" s="1"/>
  <c r="H51" i="5"/>
  <c r="I51" i="5" s="1"/>
  <c r="K51" i="5" s="1"/>
  <c r="H50" i="5"/>
  <c r="I50" i="5" s="1"/>
  <c r="K50" i="5" s="1"/>
  <c r="H49" i="5"/>
  <c r="I49" i="5" s="1"/>
  <c r="K49" i="5"/>
  <c r="D17" i="6" s="1"/>
  <c r="K5" i="5"/>
  <c r="D6" i="6" s="1"/>
  <c r="J6" i="6"/>
  <c r="K6" i="6"/>
  <c r="L6" i="6" s="1"/>
  <c r="K11" i="6" l="1"/>
  <c r="L11" i="6" s="1"/>
  <c r="K9" i="5"/>
  <c r="D7" i="6" s="1"/>
  <c r="J7" i="6"/>
  <c r="K7" i="6"/>
  <c r="L7" i="6" s="1"/>
  <c r="K21" i="5"/>
  <c r="D10" i="6" s="1"/>
  <c r="J10" i="6"/>
  <c r="J17" i="6"/>
  <c r="K17" i="6"/>
  <c r="L17" i="6" s="1"/>
  <c r="K10" i="6"/>
  <c r="L10" i="6" s="1"/>
  <c r="K37" i="5"/>
  <c r="D14" i="6" s="1"/>
  <c r="J14" i="6"/>
  <c r="K14" i="6"/>
  <c r="L14" i="6" s="1"/>
  <c r="K29" i="5"/>
  <c r="D12" i="6" s="1"/>
  <c r="K12" i="6"/>
  <c r="L12" i="6" s="1"/>
  <c r="J12" i="6"/>
  <c r="K45" i="5"/>
  <c r="D16" i="6" s="1"/>
  <c r="J16" i="6"/>
  <c r="K16" i="6"/>
  <c r="L16" i="6" s="1"/>
  <c r="K41" i="5"/>
  <c r="D15" i="6" s="1"/>
  <c r="J15" i="6"/>
  <c r="K15" i="6"/>
  <c r="L15" i="6" s="1"/>
  <c r="K33" i="5"/>
  <c r="D13" i="6" s="1"/>
  <c r="J13" i="6"/>
  <c r="K13" i="6"/>
  <c r="L13" i="6" s="1"/>
  <c r="K25" i="5"/>
  <c r="D11" i="6" s="1"/>
  <c r="J11" i="6"/>
  <c r="K17" i="5"/>
  <c r="D9" i="6" s="1"/>
  <c r="J9" i="6"/>
  <c r="K9" i="6"/>
  <c r="L9" i="6" s="1"/>
  <c r="K16" i="5"/>
  <c r="D8" i="6" s="1"/>
  <c r="J8" i="6"/>
  <c r="K8" i="6"/>
  <c r="L8" i="6" s="1"/>
  <c r="F17" i="6"/>
  <c r="G17" i="6"/>
  <c r="F6" i="6"/>
  <c r="G6" i="6"/>
  <c r="F7" i="6" l="1"/>
  <c r="G7" i="6"/>
  <c r="F10" i="6"/>
  <c r="G10" i="6"/>
  <c r="F16" i="6"/>
  <c r="G16" i="6"/>
  <c r="F11" i="6"/>
  <c r="G11" i="6"/>
  <c r="H9" i="6"/>
  <c r="I9" i="6" s="1"/>
  <c r="F14" i="6"/>
  <c r="G14" i="6"/>
  <c r="F12" i="6"/>
  <c r="G12" i="6"/>
  <c r="F15" i="6"/>
  <c r="G15" i="6"/>
  <c r="F13" i="6"/>
  <c r="G13" i="6"/>
  <c r="G9" i="6"/>
  <c r="F9" i="6"/>
  <c r="H14" i="6"/>
  <c r="I14" i="6" s="1"/>
  <c r="H13" i="6"/>
  <c r="I13" i="6" s="1"/>
  <c r="H16" i="6"/>
  <c r="I16" i="6" s="1"/>
  <c r="H15" i="6"/>
  <c r="I15" i="6" s="1"/>
  <c r="H12" i="6"/>
  <c r="I12" i="6" s="1"/>
  <c r="H10" i="6"/>
  <c r="I10" i="6" s="1"/>
  <c r="H11" i="6"/>
  <c r="I11" i="6" s="1"/>
  <c r="H17" i="6"/>
  <c r="I17" i="6" s="1"/>
  <c r="F8" i="6"/>
  <c r="G8" i="6"/>
  <c r="H8" i="6"/>
  <c r="I8" i="6" s="1"/>
  <c r="H7" i="6"/>
  <c r="I7" i="6" s="1"/>
  <c r="H6" i="6"/>
  <c r="I6" i="6" s="1"/>
  <c r="D18" i="6"/>
  <c r="G18" i="6" l="1"/>
  <c r="F18" i="6"/>
  <c r="C9" i="1"/>
</calcChain>
</file>

<file path=xl/sharedStrings.xml><?xml version="1.0" encoding="utf-8"?>
<sst xmlns="http://schemas.openxmlformats.org/spreadsheetml/2006/main" count="2131" uniqueCount="936">
  <si>
    <t>Cyber Executive Command Center: from tool data to risk domain score</t>
  </si>
  <si>
    <t>High-level solution for Al Dhabi Holdings (sample data, snapshot 5 Sep 2026). Built from your 12 Domains - Tools sheet.</t>
  </si>
  <si>
    <t>Scope</t>
  </si>
  <si>
    <t>Item</t>
  </si>
  <si>
    <t>Value</t>
  </si>
  <si>
    <t>Note</t>
  </si>
  <si>
    <t>Domains</t>
  </si>
  <si>
    <t>12 risk domains, matching the 12 domain codes already in the database</t>
  </si>
  <si>
    <t>Tool categories</t>
  </si>
  <si>
    <t>One normalized metric per tool category</t>
  </si>
  <si>
    <t>Example products with sample data</t>
  </si>
  <si>
    <t>Each row has a synthetic raw payload and processed numerator/denominator</t>
  </si>
  <si>
    <t>Enterprise composite (calculated)</t>
  </si>
  <si>
    <t>Average of the 12 domain scores; matches the stored value 42.83</t>
  </si>
  <si>
    <t>End-to-end flow</t>
  </si>
  <si>
    <t>Step</t>
  </si>
  <si>
    <t>Stage</t>
  </si>
  <si>
    <t>What happens</t>
  </si>
  <si>
    <t>Where to see it in this workbook</t>
  </si>
  <si>
    <t>Tool / product</t>
  </si>
  <si>
    <t>48 tool categories and their example products (Defender, Veeam, Wiz, Entra ID and so on) hold the raw security facts.</t>
  </si>
  <si>
    <t>Categories; Products and Samples</t>
  </si>
  <si>
    <t>Data ingestion</t>
  </si>
  <si>
    <t>Connectors pull, receive or read the data using one of five patterns and land it unchanged in the raw zone.</t>
  </si>
  <si>
    <t>Pipeline Layers (A); Products and Samples: integration, pattern, payload</t>
  </si>
  <si>
    <t>Data processing</t>
  </si>
  <si>
    <t>Validate, parse, deduplicate, tag the tenant, resolve entities, enrich, apply the metric definition, run quality gates.</t>
  </si>
  <si>
    <t>Pipeline Layers (B); Categories: key processing</t>
  </si>
  <si>
    <t>Data storage</t>
  </si>
  <si>
    <t>Raw payloads in object storage, run log, curated control_signals, then gold score tables already in the schema.</t>
  </si>
  <si>
    <t>Pipeline Layers (C)</t>
  </si>
  <si>
    <t>Normalization and correlation</t>
  </si>
  <si>
    <t>Each tool category becomes one ratio (compliant / in scope) and a gap %. Product feeds in the same category are added together; domains combine four categories.</t>
  </si>
  <si>
    <t>Normalized Signals</t>
  </si>
  <si>
    <t>Domain risk calculation</t>
  </si>
  <si>
    <t>Domain score = sum of weight x gap for its four categories. Severity bands: low under 35, medium 35-54, high 55-69, critical 70 and above.</t>
  </si>
  <si>
    <t>Domain Risk Calc</t>
  </si>
  <si>
    <t>Command Center</t>
  </si>
  <si>
    <t>Enterprise score is the average of 12 domains. The top 3 domains become findings, then business impact and executive decisions.</t>
  </si>
  <si>
    <t>Domain Risk Calc: rank, escalation, headline</t>
  </si>
  <si>
    <t>Design principles</t>
  </si>
  <si>
    <t>One signal contract: every tool, whatever its format, ends up as numerator, denominator and quality flag.</t>
  </si>
  <si>
    <t>Traceability: a score can be followed back to its metric, product and original raw payload.</t>
  </si>
  <si>
    <t>No silent scoring: stale or partial feeds are flagged, not counted as good.</t>
  </si>
  <si>
    <t>Tenant isolation: every curated and gold row carries org_id and is protected by Row-Level Security.</t>
  </si>
  <si>
    <t>Weights are policy: the vCISO approves them, and changes are logged.</t>
  </si>
  <si>
    <t>Assumptions and caveats</t>
  </si>
  <si>
    <t>All data is synthetic. Al Dhabi's domain scores equal the stored sample-database values (for example VAPT 76, SOC 72, Ransomware 54).</t>
  </si>
  <si>
    <t>Weights and the gap-by-category split are proposed defaults, calibrated so the four categories of each domain reproduce the stored score. They replace the six-control illustration shown earlier for Ransomware Readiness; recovery testing is still the largest driver.</t>
  </si>
  <si>
    <t>Integration paths are typical patterns, not a build specification. Vendor APIs and field names change; confirm each against current vendor documentation. Payload field names are illustrative, not vendor-exact.</t>
  </si>
  <si>
    <t>Several 'tools' in your sheet are generic (GRC platforms, TPRM platforms, CTI platforms, SIEM dashboards, compliance automation tools) and are treated as generic sources.</t>
  </si>
  <si>
    <t>control_signals, ingestion_runs and the raw object store are proposed additions. The 15-table schema already holds the gold tables.</t>
  </si>
  <si>
    <t>Severity bands are inferred from the sample database (min and max score per severity).</t>
  </si>
  <si>
    <t>Sheet guide</t>
  </si>
  <si>
    <t>Pipeline Layers</t>
  </si>
  <si>
    <t>Ingestion patterns, processing steps and storage zones.</t>
  </si>
  <si>
    <t>Categories</t>
  </si>
  <si>
    <t>48 tool categories with metric, ingestion pattern, frequency and processing.</t>
  </si>
  <si>
    <t>Products and Samples</t>
  </si>
  <si>
    <t>Every example product: integration, sample raw payload, processed numerator and denominator.</t>
  </si>
  <si>
    <t>Category metrics, gap % and risk points (formulas).</t>
  </si>
  <si>
    <t>Domain scores, severity, ranking, drivers and enterprise composite (formulas).</t>
  </si>
  <si>
    <t>Pipeline layers: ingestion, processing, storage</t>
  </si>
  <si>
    <t>A. Ingestion patterns</t>
  </si>
  <si>
    <t>Pattern</t>
  </si>
  <si>
    <t>How it works</t>
  </si>
  <si>
    <t>Typical tools in this workbook</t>
  </si>
  <si>
    <t>Controls</t>
  </si>
  <si>
    <t>Categories using it</t>
  </si>
  <si>
    <t>API pull (scheduled)</t>
  </si>
  <si>
    <t>A connector calls the vendor API on a schedule, authenticates with a vaulted secret, pages through results and keeps a cursor (updated-since) so each run is incremental.</t>
  </si>
  <si>
    <t>Defender, CrowdStrike, Tenable, Veeam, Wiz, Entra ID, ServiceNow GRC</t>
  </si>
  <si>
    <t>Secrets in a vault; retry with backoff; rate-limit aware; run recorded in ingestion_runs</t>
  </si>
  <si>
    <t>Streaming / event push</t>
  </si>
  <si>
    <t>The source pushes events to a webhook, event hub or collector as they happen.</t>
  </si>
  <si>
    <t>Netskope streams, CrowdStrike Streaming API, Splunk HEC</t>
  </si>
  <si>
    <t>Signed payloads; replay buffer; at-least-once delivery with dedupe downstream</t>
  </si>
  <si>
    <t>Log forwarding (syslog/agent)</t>
  </si>
  <si>
    <t>Agents or forwarders ship syslog/CEF or file logs to a collector, which batches them to the raw zone.</t>
  </si>
  <si>
    <t>DLP and firewall logs (Forcepoint, Fortinet, Palo Alto, Cisco), Netskope</t>
  </si>
  <si>
    <t>TLS in transit; collector health alerts; clock-skew checks</t>
  </si>
  <si>
    <t>Report / file drop</t>
  </si>
  <si>
    <t>A report or export file is dropped to SFTP or object storage and picked up on arrival.</t>
  </si>
  <si>
    <t>DMARC aggregate XML, Nmap XML, Burp reports</t>
  </si>
  <si>
    <t>Checksum on arrival; schema validation; quarantine of malformed files</t>
  </si>
  <si>
    <t>Query-in-place (KQL/SPL/SQL)</t>
  </si>
  <si>
    <t>The pipeline runs a saved query inside a platform that already holds the data and stores only the result.</t>
  </si>
  <si>
    <t>Sentinel (KQL), Splunk (SPL), Power BI datasets</t>
  </si>
  <si>
    <t>Query versioned in Git; result row count compared with expectation</t>
  </si>
  <si>
    <t>B. Processing steps (raw payload to normalized metric)</t>
  </si>
  <si>
    <t>What it does</t>
  </si>
  <si>
    <t>Example (Veeam immutable backup, Al Dhabi)</t>
  </si>
  <si>
    <t>Failure handling</t>
  </si>
  <si>
    <t>Output</t>
  </si>
  <si>
    <t>1. Validate envelope</t>
  </si>
  <si>
    <t>Check authentication result, schema version and required fields; stamp run ID and received time.</t>
  </si>
  <si>
    <t>Reject a payload with no job list; log run as failed in ingestion_runs.</t>
  </si>
  <si>
    <t>Quarantine and alert; never score from a rejected payload</t>
  </si>
  <si>
    <t>Accepted raw payload</t>
  </si>
  <si>
    <t>2. Parse and flatten</t>
  </si>
  <si>
    <t>Convert JSON/XML/CSV/CEF into rows with typed columns.</t>
  </si>
  <si>
    <t>Backup jobs array becomes one row per protected system.</t>
  </si>
  <si>
    <t>Unparseable rows counted and reported</t>
  </si>
  <si>
    <t>Flat records</t>
  </si>
  <si>
    <t>3. Deduplicate</t>
  </si>
  <si>
    <t>Build a key (tool + tenant + entity + period) and keep the latest record so re-runs do not double count.</t>
  </si>
  <si>
    <t>Two runs on the same day keep the later job result.</t>
  </si>
  <si>
    <t>Idempotent upsert</t>
  </si>
  <si>
    <t>Unique records</t>
  </si>
  <si>
    <t>4. Tag tenant and resolve entities</t>
  </si>
  <si>
    <t>Set org_id; map vendor IDs to the asset, identity, vendor or application in the CMDB / register.</t>
  </si>
  <si>
    <t>Veeam object 'SQL-PAY-01' maps to CMDB critical system 'Payments DB'.</t>
  </si>
  <si>
    <t>Unmapped entities listed as 'unknown' and counted in quality flag</t>
  </si>
  <si>
    <t>Entity-resolved records</t>
  </si>
  <si>
    <t>5. Enrich</t>
  </si>
  <si>
    <t>Add business context: criticality, business unit, regulatory scope, threat intelligence.</t>
  </si>
  <si>
    <t>Payments DB is tier 1 and in PCI scope.</t>
  </si>
  <si>
    <t>Missing enrichment defaults to the stricter tier</t>
  </si>
  <si>
    <t>Enriched records</t>
  </si>
  <si>
    <t>6. Apply metric definition</t>
  </si>
  <si>
    <t>Count what is compliant (numerator) and what is in scope (denominator) per the metric on 'Categories'.</t>
  </si>
  <si>
    <t>Numerator = critical systems with an immutable copy and a recent successful job.</t>
  </si>
  <si>
    <t>Out-of-scope entities excluded and logged</t>
  </si>
  <si>
    <t>Numerator and denominator</t>
  </si>
  <si>
    <t>7. Quality gates</t>
  </si>
  <si>
    <t>Check freshness, completeness and volume against the tool's normal range; set quality_flag.</t>
  </si>
  <si>
    <t>Feed older than 36 hours is marked stale and shown as such on the dashboard.</t>
  </si>
  <si>
    <t>Stale or partial data is flagged, never silently scored as good</t>
  </si>
  <si>
    <t>Quality-flagged signal</t>
  </si>
  <si>
    <t>8. Aggregate to category metric</t>
  </si>
  <si>
    <t>Add product-level numerators and denominators into one metric per tool category.</t>
  </si>
  <si>
    <t>Veeam + Rubrik + Cohesity numerators and denominators are summed.</t>
  </si>
  <si>
    <t>Missing product shown as partial coverage</t>
  </si>
  <si>
    <t>One row in control_signals</t>
  </si>
  <si>
    <t>C. Storage zones</t>
  </si>
  <si>
    <t>Zone</t>
  </si>
  <si>
    <t>What is stored</t>
  </si>
  <si>
    <t>Structure</t>
  </si>
  <si>
    <t>Schema status</t>
  </si>
  <si>
    <t>Retention / access</t>
  </si>
  <si>
    <t>Raw (bronze)</t>
  </si>
  <si>
    <t>Unaltered vendor payloads exactly as received, for audit and replay.</t>
  </si>
  <si>
    <t>Object storage path raw/&lt;domain&gt;/&lt;category&gt;/&lt;product&gt;/dt=YYYY-MM-DD/; immutable; one file per run.</t>
  </si>
  <si>
    <t>Proposed addition (object store)</t>
  </si>
  <si>
    <t>Locked against edits; access limited to the platform; retention set by policy</t>
  </si>
  <si>
    <t>Operational log</t>
  </si>
  <si>
    <t>One row per ingestion run: source, status, rows read, rows rejected, error text.</t>
  </si>
  <si>
    <t>Table ingestion_runs (run_id, org_id, product, started_at, status, rows_in, rows_rejected, raw_ref).</t>
  </si>
  <si>
    <t>Proposed addition (new table)</t>
  </si>
  <si>
    <t>Tenant isolated with Row-Level Security</t>
  </si>
  <si>
    <t>Curated (silver)</t>
  </si>
  <si>
    <t>Normalized signals: one row per metric per org per period, linked back to the raw file.</t>
  </si>
  <si>
    <t>Table control_signals (signal_id, org_id, risk_domain_id, metric_id, tool_category, observed_at, numerator, denominator, quality_flag, raw_ref, run_id).</t>
  </si>
  <si>
    <t>Row-Level Security on org_id; queried only by the scoring job</t>
  </si>
  <si>
    <t>Gold: scores</t>
  </si>
  <si>
    <t>Domain risk score per org per month and the enterprise composite.</t>
  </si>
  <si>
    <t>domain_risk_snapshots (score, severity, headline_detail); enterprise_risk_score_snapshots.</t>
  </si>
  <si>
    <t>Existing tables (15-table schema)</t>
  </si>
  <si>
    <t>Read by the Command Center dashboard</t>
  </si>
  <si>
    <t>Gold: decisions</t>
  </si>
  <si>
    <t>Top-3 domains escalated to findings, business impact and executive decisions.</t>
  </si>
  <si>
    <t>risk_findings, business_impact_assessments, executive_decisions, decision_action_log, command_center_activity.</t>
  </si>
  <si>
    <t>Row-Level Security; changes recorded in audit_log</t>
  </si>
  <si>
    <t>Metric ID</t>
  </si>
  <si>
    <t>#</t>
  </si>
  <si>
    <t>Domain</t>
  </si>
  <si>
    <t>Domain code</t>
  </si>
  <si>
    <t>Tool category</t>
  </si>
  <si>
    <t>Example tools / products (from your sheet)</t>
  </si>
  <si>
    <t>Normalized metric</t>
  </si>
  <si>
    <t>Numerator</t>
  </si>
  <si>
    <t>Denominator</t>
  </si>
  <si>
    <t>Ingestion pattern</t>
  </si>
  <si>
    <t>Frequency</t>
  </si>
  <si>
    <t>Key processing</t>
  </si>
  <si>
    <t>Raw landing path (object store)</t>
  </si>
  <si>
    <t>Resilience stage</t>
  </si>
  <si>
    <t>M01-1</t>
  </si>
  <si>
    <t>AI Security &amp; GenAI Governance</t>
  </si>
  <si>
    <t>ai_governance</t>
  </si>
  <si>
    <t>AI Security / AI-SPM</t>
  </si>
  <si>
    <t>Examples: Microsoft Purview, Lakera, Protect AI</t>
  </si>
  <si>
    <t>AI apps and models risk-assessed</t>
  </si>
  <si>
    <t>AI apps/models with completed risk assessment</t>
  </si>
  <si>
    <t>AI apps/models discovered (incl. shadow AI)</t>
  </si>
  <si>
    <t>Daily</t>
  </si>
  <si>
    <t>Join discovery feed to the AI register on app/model ID; flag unregistered apps as shadow AI</t>
  </si>
  <si>
    <t>raw/ai_governance/ai_security_ai_spm/&lt;product&gt;/dt=YYYY-MM-DD/</t>
  </si>
  <si>
    <t>Prevent / Detect</t>
  </si>
  <si>
    <t>M01-2</t>
  </si>
  <si>
    <t>DLP / Data Controls</t>
  </si>
  <si>
    <t>Examples: Microsoft Purview DLP, Netskope</t>
  </si>
  <si>
    <t>Sensitive AI prompt/upload events blocked or redacted</t>
  </si>
  <si>
    <t>Events blocked or redacted</t>
  </si>
  <si>
    <t>Sensitive events detected</t>
  </si>
  <si>
    <t>Near real-time</t>
  </si>
  <si>
    <t>Parse DLP events; keep sensitive-info-type matches only; drop test traffic; count per day</t>
  </si>
  <si>
    <t>raw/ai_governance/dlp_data_controls/&lt;product&gt;/dt=YYYY-MM-DD/</t>
  </si>
  <si>
    <t>M01-3</t>
  </si>
  <si>
    <t>LLM Security</t>
  </si>
  <si>
    <t>Examples: Lakera, Palo Alto Prisma AIRS</t>
  </si>
  <si>
    <t>LLM apps behind runtime guardrails</t>
  </si>
  <si>
    <t>LLM apps with guardrails enforced</t>
  </si>
  <si>
    <t>LLM apps in production</t>
  </si>
  <si>
    <t>Match guardrail inventory to production LLM app list; exclude dev/test apps</t>
  </si>
  <si>
    <t>raw/ai_governance/llm_security/&lt;product&gt;/dt=YYYY-MM-DD/</t>
  </si>
  <si>
    <t>M01-4</t>
  </si>
  <si>
    <t>AI Governance</t>
  </si>
  <si>
    <t>Examples: Microsoft Purview, GRC platforms</t>
  </si>
  <si>
    <t>AI use cases with approved policy and named owner</t>
  </si>
  <si>
    <t>Use cases with approved policy and owner</t>
  </si>
  <si>
    <t>AI use cases registered</t>
  </si>
  <si>
    <t>Weekly</t>
  </si>
  <si>
    <t>Read AI register; test owner, approval status and review date; flag overdue reviews</t>
  </si>
  <si>
    <t>raw/ai_governance/ai_governance/&lt;product&gt;/dt=YYYY-MM-DD/</t>
  </si>
  <si>
    <t>M02-1</t>
  </si>
  <si>
    <t>Phishing / BEC Defense</t>
  </si>
  <si>
    <t>phishing_bec</t>
  </si>
  <si>
    <t>Secure Email Gateway</t>
  </si>
  <si>
    <t>Examples: Microsoft Defender for Office 365, Proofpoint, Mimecast</t>
  </si>
  <si>
    <t>Malicious emails blocked before delivery</t>
  </si>
  <si>
    <t>Blocked before delivery</t>
  </si>
  <si>
    <t>Malicious emails identified (pre- and post-delivery)</t>
  </si>
  <si>
    <t>Hourly</t>
  </si>
  <si>
    <t>Filter verdicts to phish/BEC/malware; count pre-delivery blocks vs post-delivery remediation</t>
  </si>
  <si>
    <t>raw/phishing_bec/secure_email_gateway/&lt;product&gt;/dt=YYYY-MM-DD/</t>
  </si>
  <si>
    <t>M02-2</t>
  </si>
  <si>
    <t>Email Authentication</t>
  </si>
  <si>
    <t>SPF, DKIM, DMARC</t>
  </si>
  <si>
    <t>Owned domains enforcing DMARC quarantine/reject</t>
  </si>
  <si>
    <t>Domains with p=quarantine or p=reject</t>
  </si>
  <si>
    <t>Owned sending domains</t>
  </si>
  <si>
    <t>Parse DMARC aggregate (RUA) XML; read published policy per domain; compare with owned-domain list</t>
  </si>
  <si>
    <t>raw/phishing_bec/email_authentication/&lt;product&gt;/dt=YYYY-MM-DD/</t>
  </si>
  <si>
    <t>M02-3</t>
  </si>
  <si>
    <t>Sandboxing / URL Protection</t>
  </si>
  <si>
    <t>Examples: Defender Safe Links/Safe Attachments, Proofpoint</t>
  </si>
  <si>
    <t>Malicious URL clicks blocked at click time</t>
  </si>
  <si>
    <t>Clicks blocked</t>
  </si>
  <si>
    <t>Clicks on URLs later judged malicious</t>
  </si>
  <si>
    <t>Join click events to URL verdicts; count blocked vs allowed clicks</t>
  </si>
  <si>
    <t>raw/phishing_bec/sandboxing_url_protection/&lt;product&gt;/dt=YYYY-MM-DD/</t>
  </si>
  <si>
    <t>M02-4</t>
  </si>
  <si>
    <t>Phishing Simulation</t>
  </si>
  <si>
    <t>Examples: Microsoft Attack Simulation Training, KnowBe4</t>
  </si>
  <si>
    <t>Targeted users who did not click simulated phish</t>
  </si>
  <si>
    <t>Users who did not click</t>
  </si>
  <si>
    <t>Users targeted</t>
  </si>
  <si>
    <t>Monthly</t>
  </si>
  <si>
    <t>Pull campaign results; de-duplicate users across campaigns; use the latest campaign per user</t>
  </si>
  <si>
    <t>raw/phishing_bec/phishing_simulation/&lt;product&gt;/dt=YYYY-MM-DD/</t>
  </si>
  <si>
    <t>M03-1</t>
  </si>
  <si>
    <t>OT / ICS Security</t>
  </si>
  <si>
    <t>ot_ics</t>
  </si>
  <si>
    <t>OT Asset Discovery</t>
  </si>
  <si>
    <t>Examples: Claroty, Nozomi Networks, Armis</t>
  </si>
  <si>
    <t>OT assets inventoried and classified</t>
  </si>
  <si>
    <t>Assets classified (type, vendor, zone)</t>
  </si>
  <si>
    <t>OT assets observed on the network</t>
  </si>
  <si>
    <t>Merge passive-discovery assets; resolve duplicates by MAC/serial; map to Purdue level and site</t>
  </si>
  <si>
    <t>raw/ot_ics/ot_asset_discovery/&lt;product&gt;/dt=YYYY-MM-DD/</t>
  </si>
  <si>
    <t>Protect / Detect / Respond</t>
  </si>
  <si>
    <t>M03-2</t>
  </si>
  <si>
    <t>OT Network Monitoring</t>
  </si>
  <si>
    <t>Examples: Nozomi, Dragos, Claroty</t>
  </si>
  <si>
    <t>OT sites with passive monitoring sensors</t>
  </si>
  <si>
    <t>Sites with a healthy sensor</t>
  </si>
  <si>
    <t>OT sites in scope</t>
  </si>
  <si>
    <t>Read sensor health; a site counts only if the sensor reported within 24 hours</t>
  </si>
  <si>
    <t>raw/ot_ics/ot_network_monitoring/&lt;product&gt;/dt=YYYY-MM-DD/</t>
  </si>
  <si>
    <t>M03-3</t>
  </si>
  <si>
    <t>Industrial Firewall / Segmentation</t>
  </si>
  <si>
    <t>Examples: Fortinet, Palo Alto Networks, Cisco</t>
  </si>
  <si>
    <t>IT/OT conduits with enforced allow-list rules</t>
  </si>
  <si>
    <t>Conduits with allow-list and no any-any rule</t>
  </si>
  <si>
    <t>IT/OT conduits defined</t>
  </si>
  <si>
    <t>Export firewall policy; test each conduit for default-deny and any-any rules</t>
  </si>
  <si>
    <t>raw/ot_ics/industrial_firewall_segmentation/&lt;product&gt;/dt=YYYY-MM-DD/</t>
  </si>
  <si>
    <t>M03-4</t>
  </si>
  <si>
    <t>OT SOC / SIEM</t>
  </si>
  <si>
    <t>Examples: Microsoft Sentinel, Splunk, QRadar</t>
  </si>
  <si>
    <t>OT alerts triaged within SLA</t>
  </si>
  <si>
    <t>Alerts triaged within SLA</t>
  </si>
  <si>
    <t>OT alerts raised</t>
  </si>
  <si>
    <t>Correlate OT alerts with enterprise events; compute time-to-triage against severity SLA</t>
  </si>
  <si>
    <t>raw/ot_ics/ot_soc_siem/&lt;product&gt;/dt=YYYY-MM-DD/</t>
  </si>
  <si>
    <t>M04-1</t>
  </si>
  <si>
    <t>Third-Party / Supply Chain Risk</t>
  </si>
  <si>
    <t>third_party_risk</t>
  </si>
  <si>
    <t>TPRM / GRC</t>
  </si>
  <si>
    <t>Examples: ServiceNow GRC, Archer, OneTrust</t>
  </si>
  <si>
    <t>Critical vendors with current assessment (under 12 months)</t>
  </si>
  <si>
    <t>Critical vendors assessed in last 12 months</t>
  </si>
  <si>
    <t>Critical vendors</t>
  </si>
  <si>
    <t>Read vendor register and assessment dates; mark assessments older than 12 months as expired</t>
  </si>
  <si>
    <t>raw/third_party_risk/tprm_grc/&lt;product&gt;/dt=YYYY-MM-DD/</t>
  </si>
  <si>
    <t>Prevent / Monitor</t>
  </si>
  <si>
    <t>M04-2</t>
  </si>
  <si>
    <t>External Attack Surface</t>
  </si>
  <si>
    <t>Examples: SecurityScorecard, BitSight, Recorded Future</t>
  </si>
  <si>
    <t>Critical vendors with external rating grade B or better</t>
  </si>
  <si>
    <t>Vendors rated B or better</t>
  </si>
  <si>
    <t>Critical vendors monitored</t>
  </si>
  <si>
    <t>Map vendor domains to rating profiles; convert score to grade; keep latest rating</t>
  </si>
  <si>
    <t>raw/third_party_risk/external_attack_surface/&lt;product&gt;/dt=YYYY-MM-DD/</t>
  </si>
  <si>
    <t>M04-3</t>
  </si>
  <si>
    <t>SBOM / Software Supply Chain</t>
  </si>
  <si>
    <t>Examples: Snyk, Mend, GitHub Advanced Security</t>
  </si>
  <si>
    <t>Applications with SBOM and no critical open component vulnerabilities</t>
  </si>
  <si>
    <t>Apps with SBOM and no critical component vuln</t>
  </si>
  <si>
    <t>Applications in scope</t>
  </si>
  <si>
    <t>Fetch SBOM/dependency alerts per repo; link repo to application; count critical open alerts</t>
  </si>
  <si>
    <t>raw/third_party_risk/sbom_software_supply_chain/&lt;product&gt;/dt=YYYY-MM-DD/</t>
  </si>
  <si>
    <t>M04-4</t>
  </si>
  <si>
    <t>Vendor Monitoring</t>
  </si>
  <si>
    <t>Examples: TPRM platforms, CTI platforms</t>
  </si>
  <si>
    <t>Vendor incidents and changes triaged within SLA</t>
  </si>
  <si>
    <t>Events triaged within SLA</t>
  </si>
  <si>
    <t>Vendor events received</t>
  </si>
  <si>
    <t>Normalize vendor alerts, breach advisories and rating drops; measure time to triage</t>
  </si>
  <si>
    <t>raw/third_party_risk/vendor_monitoring/&lt;product&gt;/dt=YYYY-MM-DD/</t>
  </si>
  <si>
    <t>M05-1</t>
  </si>
  <si>
    <t>Attack Surface &amp; VAPT</t>
  </si>
  <si>
    <t>vapt_asm</t>
  </si>
  <si>
    <t>Network Vulnerability Scanner</t>
  </si>
  <si>
    <t>Examples: Tenable Nessus, Qualys VMDR, Rapid7 InsightVM</t>
  </si>
  <si>
    <t>Critical/high vulnerabilities remediated within SLA</t>
  </si>
  <si>
    <t>Remediated within SLA</t>
  </si>
  <si>
    <t>Critical/high vulnerabilities due in period</t>
  </si>
  <si>
    <t>Deduplicate findings by asset+vulnerability ID; compute age against SLA; weight external assets first</t>
  </si>
  <si>
    <t>raw/vapt_asm/network_vulnerability_scanner/&lt;product&gt;/dt=YYYY-MM-DD/</t>
  </si>
  <si>
    <t>Prevent</t>
  </si>
  <si>
    <t>M05-2</t>
  </si>
  <si>
    <t>Network Discovery</t>
  </si>
  <si>
    <t>Example: Nmap</t>
  </si>
  <si>
    <t>Discovered internet-facing services that are known and authorized</t>
  </si>
  <si>
    <t>Services matching an authorized CMDB record</t>
  </si>
  <si>
    <t>Internet-facing services discovered</t>
  </si>
  <si>
    <t>Parse scan XML; join IP/port to the CMDB; unmatched services become shadow-exposure candidates</t>
  </si>
  <si>
    <t>raw/vapt_asm/network_discovery/&lt;product&gt;/dt=YYYY-MM-DD/</t>
  </si>
  <si>
    <t>M05-3</t>
  </si>
  <si>
    <t>Web Application Testing</t>
  </si>
  <si>
    <t>Examples: Burp Suite, OWASP ZAP</t>
  </si>
  <si>
    <t>Web apps tested in last 12 months with no open critical findings</t>
  </si>
  <si>
    <t>Web apps tested and clean of critical findings</t>
  </si>
  <si>
    <t>Web applications in inventory</t>
  </si>
  <si>
    <t>Read scan reports per app; keep latest test date; count open critical findings</t>
  </si>
  <si>
    <t>raw/vapt_asm/web_application_testing/&lt;product&gt;/dt=YYYY-MM-DD/</t>
  </si>
  <si>
    <t>M05-4</t>
  </si>
  <si>
    <t>Application Security</t>
  </si>
  <si>
    <t>Examples: GitHub Advanced Security, Checkmarx, Snyk</t>
  </si>
  <si>
    <t>Repos with code scanning on and no critical alerts</t>
  </si>
  <si>
    <t>Repos with SAST/SCA/secrets scanning and zero critical alerts</t>
  </si>
  <si>
    <t>Active repositories</t>
  </si>
  <si>
    <t>List repos and scanner settings; fetch open alerts; exclude archived repos</t>
  </si>
  <si>
    <t>raw/vapt_asm/application_security/&lt;product&gt;/dt=YYYY-MM-DD/</t>
  </si>
  <si>
    <t>M06-1</t>
  </si>
  <si>
    <t>Ransomware Readiness</t>
  </si>
  <si>
    <t>ransomware_readiness</t>
  </si>
  <si>
    <t>EDR / XDR</t>
  </si>
  <si>
    <t>Examples: Microsoft Defender for Endpoint, CrowdStrike Falcon, SentinelOne</t>
  </si>
  <si>
    <t>Endpoints/servers with healthy EDR and ransomware protection</t>
  </si>
  <si>
    <t>Devices with healthy agent and protection on</t>
  </si>
  <si>
    <t>Managed endpoints and servers</t>
  </si>
  <si>
    <t>Take latest device state; exclude decommissioned devices; check agent health and tamper protection</t>
  </si>
  <si>
    <t>raw/ransomware_readiness/edr_xdr/&lt;product&gt;/dt=YYYY-MM-DD/</t>
  </si>
  <si>
    <t>Respond / Recover</t>
  </si>
  <si>
    <t>M06-2</t>
  </si>
  <si>
    <t>SIEM / SOAR</t>
  </si>
  <si>
    <t>Examples: Microsoft Sentinel, Splunk, Cortex XSOAR</t>
  </si>
  <si>
    <t>Ransomware alerts auto-contained within target time</t>
  </si>
  <si>
    <t>Alerts contained within target</t>
  </si>
  <si>
    <t>Ransomware-related alerts</t>
  </si>
  <si>
    <t>Correlate EDR alerts with playbook runs; compute time-to-contain against target</t>
  </si>
  <si>
    <t>raw/ransomware_readiness/siem_soar/&lt;product&gt;/dt=YYYY-MM-DD/</t>
  </si>
  <si>
    <t>M06-3</t>
  </si>
  <si>
    <t>Immutable / Offline Backup</t>
  </si>
  <si>
    <t>Examples: Veeam, Rubrik, Cohesity</t>
  </si>
  <si>
    <t>Critical systems with immutable or offline backup</t>
  </si>
  <si>
    <t>Critical systems with immutable/offline copy</t>
  </si>
  <si>
    <t>Critical systems</t>
  </si>
  <si>
    <t>Map backup jobs to critical-system list; require immutability flag and a successful recent job</t>
  </si>
  <si>
    <t>raw/ransomware_readiness/immutable_offline_backup/&lt;product&gt;/dt=YYYY-MM-DD/</t>
  </si>
  <si>
    <t>M06-4</t>
  </si>
  <si>
    <t>DR / BCP / Recovery Testing</t>
  </si>
  <si>
    <t>Examples: ServiceNow BCM, Zerto, Veeam</t>
  </si>
  <si>
    <t>Recovery tests meeting target RTO/RPO</t>
  </si>
  <si>
    <t>Tests that met target RTO and RPO</t>
  </si>
  <si>
    <t>Recovery tests executed (last 12 months)</t>
  </si>
  <si>
    <t>Read drill records; compare actual vs target RTO/RPO; keep the latest test per critical service</t>
  </si>
  <si>
    <t>raw/ransomware_readiness/dr_bcp_recovery_testing/&lt;product&gt;/dt=YYYY-MM-DD/</t>
  </si>
  <si>
    <t>M07-1</t>
  </si>
  <si>
    <t>Cloud Security / CSPM / CNAPP</t>
  </si>
  <si>
    <t>cspm_cnapp</t>
  </si>
  <si>
    <t>CSPM</t>
  </si>
  <si>
    <t>Examples: Wiz, Microsoft Defender for Cloud, Prisma Cloud</t>
  </si>
  <si>
    <t>Cloud resources without critical misconfigurations</t>
  </si>
  <si>
    <t>Resources passing critical rules</t>
  </si>
  <si>
    <t>Cloud resources scanned</t>
  </si>
  <si>
    <t>Fetch posture findings; keep latest state per resource; count critical rule failures</t>
  </si>
  <si>
    <t>raw/cspm_cnapp/cspm/&lt;product&gt;/dt=YYYY-MM-DD/</t>
  </si>
  <si>
    <t>Protect / Detect</t>
  </si>
  <si>
    <t>M07-2</t>
  </si>
  <si>
    <t>CNAPP</t>
  </si>
  <si>
    <t>Examples: Wiz, Prisma Cloud, Microsoft Defender for Cloud</t>
  </si>
  <si>
    <t>Exposed workloads without critical vulnerability or attack path</t>
  </si>
  <si>
    <t>Exposed workloads that are clean</t>
  </si>
  <si>
    <t>Internet-exposed workloads</t>
  </si>
  <si>
    <t>Query exposure and vulnerability graph; count workloads with a critical attack path</t>
  </si>
  <si>
    <t>raw/cspm_cnapp/cnapp/&lt;product&gt;/dt=YYYY-MM-DD/</t>
  </si>
  <si>
    <t>M07-3</t>
  </si>
  <si>
    <t>CIEM / Cloud IAM</t>
  </si>
  <si>
    <t>Examples: Microsoft Entra Permissions Management, native cloud IAM</t>
  </si>
  <si>
    <t>Cloud identities at least privilege</t>
  </si>
  <si>
    <t>Identities using most granted permissions</t>
  </si>
  <si>
    <t>Cloud identities analyzed</t>
  </si>
  <si>
    <t>Compare granted vs used permissions over 90 days; flag identities below usage threshold</t>
  </si>
  <si>
    <t>raw/cspm_cnapp/ciem_cloud_iam/&lt;product&gt;/dt=YYYY-MM-DD/</t>
  </si>
  <si>
    <t>M07-4</t>
  </si>
  <si>
    <t>Container / Kubernetes / IaC Security</t>
  </si>
  <si>
    <t>Examples: Prisma Cloud, Aqua, Snyk</t>
  </si>
  <si>
    <t>Images and IaC templates passing policy gates</t>
  </si>
  <si>
    <t>Artifacts passing gate</t>
  </si>
  <si>
    <t>Artifacts built and scanned</t>
  </si>
  <si>
    <t>Per event</t>
  </si>
  <si>
    <t>Collect pipeline gate results; deduplicate by artifact digest; count critical failures</t>
  </si>
  <si>
    <t>raw/cspm_cnapp/container_kubernetes_iac_security/&lt;product&gt;/dt=YYYY-MM-DD/</t>
  </si>
  <si>
    <t>M08-1</t>
  </si>
  <si>
    <t>IAM / PAM</t>
  </si>
  <si>
    <t>iam_pam</t>
  </si>
  <si>
    <t>IAM / SSO</t>
  </si>
  <si>
    <t>Examples: Microsoft Entra ID, Okta</t>
  </si>
  <si>
    <t>Business apps integrated with SSO</t>
  </si>
  <si>
    <t>Apps integrated with SSO</t>
  </si>
  <si>
    <t>Business applications in inventory</t>
  </si>
  <si>
    <t>Match application inventory to SSO app registrations</t>
  </si>
  <si>
    <t>raw/iam_pam/iam_sso/&lt;product&gt;/dt=YYYY-MM-DD/</t>
  </si>
  <si>
    <t>Prevent / Protect</t>
  </si>
  <si>
    <t>M08-2</t>
  </si>
  <si>
    <t>MFA / Conditional Access</t>
  </si>
  <si>
    <t>Examples: Entra ID, Duo</t>
  </si>
  <si>
    <t>Users covered by MFA through conditional access</t>
  </si>
  <si>
    <t>Users with MFA enforced</t>
  </si>
  <si>
    <t>Active users</t>
  </si>
  <si>
    <t>Read registration and policy results; exclude disabled and service accounts</t>
  </si>
  <si>
    <t>raw/iam_pam/mfa_conditional_access/&lt;product&gt;/dt=YYYY-MM-DD/</t>
  </si>
  <si>
    <t>M08-3</t>
  </si>
  <si>
    <t>PAM</t>
  </si>
  <si>
    <t>Examples: CyberArk, BeyondTrust, Delinea</t>
  </si>
  <si>
    <t>Privileged accounts vaulted, rotated and session-recorded</t>
  </si>
  <si>
    <t>Privileged accounts fully managed</t>
  </si>
  <si>
    <t>Privileged accounts discovered</t>
  </si>
  <si>
    <t>Reconcile discovered admin accounts to vault onboarding; check rotation and recording flags</t>
  </si>
  <si>
    <t>raw/iam_pam/pam/&lt;product&gt;/dt=YYYY-MM-DD/</t>
  </si>
  <si>
    <t>M08-4</t>
  </si>
  <si>
    <t>IGA / Access Governance</t>
  </si>
  <si>
    <t>Examples: SailPoint, Saviynt</t>
  </si>
  <si>
    <t>Access reviews completed on time</t>
  </si>
  <si>
    <t>Reviews completed by due date</t>
  </si>
  <si>
    <t>Reviews due</t>
  </si>
  <si>
    <t>Pull review campaigns; mark overdue items; count completed before due date</t>
  </si>
  <si>
    <t>raw/iam_pam/iga_access_governance/&lt;product&gt;/dt=YYYY-MM-DD/</t>
  </si>
  <si>
    <t>M09-1</t>
  </si>
  <si>
    <t>vCISO / Cyber CoE</t>
  </si>
  <si>
    <t>vciso</t>
  </si>
  <si>
    <t>GRC / Risk Management</t>
  </si>
  <si>
    <t>Risks with owner, treatment plan and current review</t>
  </si>
  <si>
    <t>Risks with owner, plan and review in date</t>
  </si>
  <si>
    <t>Open risks in register</t>
  </si>
  <si>
    <t>Read risk register; test owner, treatment status and last review date</t>
  </si>
  <si>
    <t>raw/vciso/grc_risk_management/&lt;product&gt;/dt=YYYY-MM-DD/</t>
  </si>
  <si>
    <t>Govern / Improve</t>
  </si>
  <si>
    <t>M09-2</t>
  </si>
  <si>
    <t>Policy Management</t>
  </si>
  <si>
    <t>Examples: GRC platforms, Microsoft Purview</t>
  </si>
  <si>
    <t>Policies approved and reviewed within cycle</t>
  </si>
  <si>
    <t>Policies in date</t>
  </si>
  <si>
    <t>Policies in library</t>
  </si>
  <si>
    <t>Read policy versions and approval dates; compare with review cycle</t>
  </si>
  <si>
    <t>raw/vciso/policy_management/&lt;product&gt;/dt=YYYY-MM-DD/</t>
  </si>
  <si>
    <t>M09-3</t>
  </si>
  <si>
    <t>Security Metrics / Dashboards</t>
  </si>
  <si>
    <t>Examples: Power BI, GRC dashboards, SIEM dashboards</t>
  </si>
  <si>
    <t>Security KPIs with automated, current data</t>
  </si>
  <si>
    <t>KPIs with automated feed refreshed in SLA</t>
  </si>
  <si>
    <t>KPIs defined</t>
  </si>
  <si>
    <t>Check refresh timestamps and data-source type for each KPI</t>
  </si>
  <si>
    <t>raw/vciso/security_metrics_dashboards/&lt;product&gt;/dt=YYYY-MM-DD/</t>
  </si>
  <si>
    <t>M09-4</t>
  </si>
  <si>
    <t>BCP / Crisis Management</t>
  </si>
  <si>
    <t>Examples: ServiceNow BCM, Archer</t>
  </si>
  <si>
    <t>Critical processes with a tested continuity plan</t>
  </si>
  <si>
    <t>Processes with a plan tested in last 12 months</t>
  </si>
  <si>
    <t>Critical business processes</t>
  </si>
  <si>
    <t>Quarterly</t>
  </si>
  <si>
    <t>Join process register to BCP plan and exercise records</t>
  </si>
  <si>
    <t>raw/vciso/bcp_crisis_management/&lt;product&gt;/dt=YYYY-MM-DD/</t>
  </si>
  <si>
    <t>M10-1</t>
  </si>
  <si>
    <t>SOC / MDR</t>
  </si>
  <si>
    <t>soc_mdr</t>
  </si>
  <si>
    <t>SIEM</t>
  </si>
  <si>
    <t>Examples: Microsoft Sentinel, Splunk, IBM QRadar</t>
  </si>
  <si>
    <t>Critical log sources onboarded and healthy</t>
  </si>
  <si>
    <t>Sources sending logs within expected interval</t>
  </si>
  <si>
    <t>Critical log sources required</t>
  </si>
  <si>
    <t>Compare required-source list with last-seen timestamps in the SIEM</t>
  </si>
  <si>
    <t>raw/soc_mdr/siem/&lt;product&gt;/dt=YYYY-MM-DD/</t>
  </si>
  <si>
    <t>Detect / Respond</t>
  </si>
  <si>
    <t>M10-2</t>
  </si>
  <si>
    <t>SOAR</t>
  </si>
  <si>
    <t>Examples: Cortex XSOAR, Splunk SOAR, Sentinel automation</t>
  </si>
  <si>
    <t>Eligible incidents handled by automated playbooks</t>
  </si>
  <si>
    <t>Incidents enriched/contained by playbook</t>
  </si>
  <si>
    <t>Incidents eligible for automation</t>
  </si>
  <si>
    <t>Match incident types to playbook catalog; count successful playbook runs</t>
  </si>
  <si>
    <t>raw/soc_mdr/soar/&lt;product&gt;/dt=YYYY-MM-DD/</t>
  </si>
  <si>
    <t>M10-3</t>
  </si>
  <si>
    <t>Examples: Defender, CrowdStrike, SentinelOne, Cortex XDR</t>
  </si>
  <si>
    <t>Endpoints reporting telemetry to the SOC</t>
  </si>
  <si>
    <t>Endpoints with telemetry in last 24h</t>
  </si>
  <si>
    <t>Endpoints in asset inventory</t>
  </si>
  <si>
    <t>Reconcile EDR device list with asset inventory; check last-seen time</t>
  </si>
  <si>
    <t>raw/soc_mdr/edr_xdr/&lt;product&gt;/dt=YYYY-MM-DD/</t>
  </si>
  <si>
    <t>M10-4</t>
  </si>
  <si>
    <t>NDR / UEBA / Threat Intelligence</t>
  </si>
  <si>
    <t>Examples: Vectra, ExtraHop, Microsoft UEBA, MISP</t>
  </si>
  <si>
    <t>Network segments and identities covered by anomaly detection with threat intel</t>
  </si>
  <si>
    <t>Segments covered by NDR/UEBA with TI enrichment</t>
  </si>
  <si>
    <t>Network segments and identity groups in scope</t>
  </si>
  <si>
    <t>Map sensors and analytics scope to segments; confirm threat-intel feed attached</t>
  </si>
  <si>
    <t>raw/soc_mdr/ndr_ueba_threat_intelligence/&lt;product&gt;/dt=YYYY-MM-DD/</t>
  </si>
  <si>
    <t>M11-1</t>
  </si>
  <si>
    <t>PCI DSS / Data Security</t>
  </si>
  <si>
    <t>pci_dss</t>
  </si>
  <si>
    <t>Data Discovery / Classification</t>
  </si>
  <si>
    <t>Examples: Microsoft Purview, BigID</t>
  </si>
  <si>
    <t>Data stores scanned and classified</t>
  </si>
  <si>
    <t>Data stores classified</t>
  </si>
  <si>
    <t>Data stores in scope</t>
  </si>
  <si>
    <t>Match scan results to data-store inventory; count stores with classification labels</t>
  </si>
  <si>
    <t>raw/pci_dss/data_discovery_classification/&lt;product&gt;/dt=YYYY-MM-DD/</t>
  </si>
  <si>
    <t>Protect / Monitor</t>
  </si>
  <si>
    <t>M11-2</t>
  </si>
  <si>
    <t>DLP</t>
  </si>
  <si>
    <t>Examples: Microsoft Purview DLP, Symantec DLP, Forcepoint</t>
  </si>
  <si>
    <t>Sensitive-data egress events blocked or justified</t>
  </si>
  <si>
    <t>Events blocked or approved with justification</t>
  </si>
  <si>
    <t>Sensitive egress events detected</t>
  </si>
  <si>
    <t>Parse DLP incidents; separate blocked, justified and unresolved events</t>
  </si>
  <si>
    <t>raw/pci_dss/dlp/&lt;product&gt;/dt=YYYY-MM-DD/</t>
  </si>
  <si>
    <t>M11-3</t>
  </si>
  <si>
    <t>Encryption / Key Management</t>
  </si>
  <si>
    <t>Examples: Azure Key Vault, AWS KMS, HashiCorp Vault</t>
  </si>
  <si>
    <t>Data stores encrypted with managed keys within rotation policy</t>
  </si>
  <si>
    <t>Stores encrypted with in-policy key</t>
  </si>
  <si>
    <t>Join store encryption settings to key inventory; test last rotation date</t>
  </si>
  <si>
    <t>raw/pci_dss/encryption_key_management/&lt;product&gt;/dt=YYYY-MM-DD/</t>
  </si>
  <si>
    <t>M11-4</t>
  </si>
  <si>
    <t>Database Security / Monitoring</t>
  </si>
  <si>
    <t>Examples: IBM Guardium, Imperva</t>
  </si>
  <si>
    <t>Databases with activity monitoring enabled</t>
  </si>
  <si>
    <t>Databases with monitoring agent/collector</t>
  </si>
  <si>
    <t>Databases in inventory</t>
  </si>
  <si>
    <t>Reconcile database inventory with monitoring agents; test event flow in last 24 hours</t>
  </si>
  <si>
    <t>raw/pci_dss/database_security_monitoring/&lt;product&gt;/dt=YYYY-MM-DD/</t>
  </si>
  <si>
    <t>M12-1</t>
  </si>
  <si>
    <t>Continuous Compliance</t>
  </si>
  <si>
    <t>compliance_engine</t>
  </si>
  <si>
    <t>GRC / Compliance Platform</t>
  </si>
  <si>
    <t>Controls mapped to frameworks with a named owner</t>
  </si>
  <si>
    <t>Controls mapped with owner</t>
  </si>
  <si>
    <t>Controls in library</t>
  </si>
  <si>
    <t>Read control library and framework mappings; test owner field</t>
  </si>
  <si>
    <t>raw/compliance_engine/grc_compliance_platform/&lt;product&gt;/dt=YYYY-MM-DD/</t>
  </si>
  <si>
    <t>M12-2</t>
  </si>
  <si>
    <t>Continuous Cloud Compliance</t>
  </si>
  <si>
    <t>Examples: Wiz, Defender for Cloud, Prisma Cloud</t>
  </si>
  <si>
    <t>Cloud compliance checks passing</t>
  </si>
  <si>
    <t>Checks passing</t>
  </si>
  <si>
    <t>Checks evaluated</t>
  </si>
  <si>
    <t>Fetch compliance results per standard; keep latest result per resource and rule</t>
  </si>
  <si>
    <t>raw/compliance_engine/continuous_cloud_compliance/&lt;product&gt;/dt=YYYY-MM-DD/</t>
  </si>
  <si>
    <t>M12-3</t>
  </si>
  <si>
    <t>Vulnerability / Patch Management</t>
  </si>
  <si>
    <t>Examples: Qualys, Tenable, Rapid7, Intune</t>
  </si>
  <si>
    <t>Assets patched within SLA</t>
  </si>
  <si>
    <t>Assets compliant with patch SLA</t>
  </si>
  <si>
    <t>Assets in patch scope</t>
  </si>
  <si>
    <t>Join patch status to asset criticality; apply SLA by severity</t>
  </si>
  <si>
    <t>raw/compliance_engine/vulnerability_patch_management/&lt;product&gt;/dt=YYYY-MM-DD/</t>
  </si>
  <si>
    <t>M12-4</t>
  </si>
  <si>
    <t>Audit / Evidence Management</t>
  </si>
  <si>
    <t>Examples: GRC platforms, compliance automation tools</t>
  </si>
  <si>
    <t>Controls with current evidence collected</t>
  </si>
  <si>
    <t>Controls with evidence in date</t>
  </si>
  <si>
    <t>Controls requiring evidence</t>
  </si>
  <si>
    <t>Match evidence items to controls; test evidence date against the period</t>
  </si>
  <si>
    <t>raw/compliance_engine/audit_evidence_management/&lt;product&gt;/dt=YYYY-MM-DD/</t>
  </si>
  <si>
    <t>Product / protocol</t>
  </si>
  <si>
    <t>Typical integration (confirm against vendor docs)</t>
  </si>
  <si>
    <t>Format</t>
  </si>
  <si>
    <t>Sample raw payload (synthetic; field names illustrative)</t>
  </si>
  <si>
    <t>Numerator (after processing)</t>
  </si>
  <si>
    <t>Denominator (after processing)</t>
  </si>
  <si>
    <t>Microsoft Purview</t>
  </si>
  <si>
    <t>Microsoft Graph and Office 365 Management Activity API; compliance portal export</t>
  </si>
  <si>
    <t>JSON</t>
  </si>
  <si>
    <t>{"source": "Microsoft Purview", "tenant": "Al Dhabi Holdings", "collected_at": "2026-09-05T02:00:00Z", "assessed_models": 9, "discovered_models": 13, "sample_record": {"ai_asset": "Copilot-Finance-Assistant", "type": "LLM app", "risk_assessed": true, "risk_rating": "Medium"}}</t>
  </si>
  <si>
    <t>Lakera</t>
  </si>
  <si>
    <t>Lakera Guard REST API; log/webhook export</t>
  </si>
  <si>
    <t>{"source": "Lakera", "tenant": "Al Dhabi Holdings", "collected_at": "2026-09-05T02:00:00Z", "assessed_models": 8, "discovered_models": 11, "sample_record": {"ai_asset": "Copilot-Finance-Assistant", "type": "LLM app", "risk_assessed": true, "risk_rating": "Medium"}}</t>
  </si>
  <si>
    <t>Protect AI</t>
  </si>
  <si>
    <t>Platform REST API / SDK export</t>
  </si>
  <si>
    <t>{"source": "Protect AI", "tenant": "Al Dhabi Holdings", "collected_at": "2026-09-05T02:00:00Z", "assessed_models": 11, "discovered_models": 16, "sample_record": {"ai_asset": "Copilot-Finance-Assistant", "type": "LLM app", "risk_assessed": true, "risk_rating": "Medium"}}</t>
  </si>
  <si>
    <t>Microsoft Purview DLP</t>
  </si>
  <si>
    <t>Office 365 Management Activity API (DLP events); Purview export</t>
  </si>
  <si>
    <t>{"source": "Microsoft Purview DLP", "tenant": "Al Dhabi Holdings", "collected_at": "2026-09-05T02:00:00Z", "blocked_or_redacted_events": 132, "sensitive_events_detected": 245, "sample_record": {"policy": "Block-PII-in-GenAI", "user": "user417@aldhabi.example", "app": "chat.example-ai.com", "action": "blocked"}}</t>
  </si>
  <si>
    <t>Netskope</t>
  </si>
  <si>
    <t>Netskope REST API v2 and log streaming</t>
  </si>
  <si>
    <t>{"source": "Netskope", "tenant": "Al Dhabi Holdings", "collected_at": "2026-09-05T02:00:00Z", "blocked_or_redacted_events": 138, "sensitive_events_detected": 255, "sample_record": {"policy": "Block-PII-in-GenAI", "user": "user417@aldhabi.example", "app": "chat.example-ai.com", "action": "blocked"}}</t>
  </si>
  <si>
    <t>{"source": "Lakera", "tenant": "Al Dhabi Holdings", "collected_at": "2026-09-05T02:00:00Z", "guarded_apps": 12, "production_llm_apps": 19, "sample_record": {"app": "customer-support-bot", "guardrail": "enforced", "prompt_injection_blocked_30d": 14}}</t>
  </si>
  <si>
    <t>Palo Alto Prisma AIRS</t>
  </si>
  <si>
    <t>Vendor REST API / log forwarding</t>
  </si>
  <si>
    <t>{"source": "Palo Alto Prisma AIRS", "tenant": "Al Dhabi Holdings", "collected_at": "2026-09-05T02:00:00Z", "guarded_apps": 14, "production_llm_apps": 21, "sample_record": {"app": "customer-support-bot", "guardrail": "enforced", "prompt_injection_blocked_30d": 14}}</t>
  </si>
  <si>
    <t>{"source": "Microsoft Purview", "tenant": "Al Dhabi Holdings", "collected_at": "2026-09-05T02:00:00Z", "governed_use_cases": 8, "registered_use_cases": 28, "sample_record": {"use_case": "Invoice summarization", "owner": "CFO Office", "policy_approved": false, "review_due": "2026-10-15"}}</t>
  </si>
  <si>
    <t>GRC platforms</t>
  </si>
  <si>
    <t>GRC platform REST API or scheduled export</t>
  </si>
  <si>
    <t>{"source": "GRC platforms", "tenant": "Al Dhabi Holdings", "collected_at": "2026-09-05T02:00:00Z", "governed_use_cases": 10, "registered_use_cases": 32, "sample_record": {"use_case": "Invoice summarization", "owner": "CFO Office", "policy_approved": false, "review_due": "2026-10-15"}}</t>
  </si>
  <si>
    <t>Microsoft Defender for Office 365</t>
  </si>
  <si>
    <t>Microsoft Graph Security API; Defender XDR Advanced Hunting API</t>
  </si>
  <si>
    <t>{"source": "Microsoft Defender for Office 365", "tenant": "Al Dhabi Holdings", "collected_at": "2026-09-05T02:00:00Z", "blocked_pre_delivery": 575, "malicious_total": 767, "sample_record": {"message_id": "&lt;a1f3@mail.example&gt;", "verdict": "phish", "action": "quarantined_pre_delivery", "sender_domain": "invoice-update.example"}}</t>
  </si>
  <si>
    <t>Proofpoint</t>
  </si>
  <si>
    <t>Proofpoint TAP SIEM API</t>
  </si>
  <si>
    <t>{"source": "Proofpoint", "tenant": "Al Dhabi Holdings", "collected_at": "2026-09-05T02:00:00Z", "blocked_pre_delivery": 418, "malicious_total": 557, "sample_record": {"message_id": "&lt;a1f3@mail.example&gt;", "verdict": "phish", "action": "quarantined_pre_delivery", "sender_domain": "invoice-update.example"}}</t>
  </si>
  <si>
    <t>Mimecast</t>
  </si>
  <si>
    <t>Mimecast API (security events)</t>
  </si>
  <si>
    <t>{"source": "Mimecast", "tenant": "Al Dhabi Holdings", "collected_at": "2026-09-05T02:00:00Z", "blocked_pre_delivery": 507, "malicious_total": 676, "sample_record": {"message_id": "&lt;a1f3@mail.example&gt;", "verdict": "phish", "action": "quarantined_pre_delivery", "sender_domain": "invoice-update.example"}}</t>
  </si>
  <si>
    <t>SPF / DKIM / DMARC (protocols)</t>
  </si>
  <si>
    <t>DMARC aggregate (RUA) XML reports received by mailbox/SFTP, plus DNS record lookups</t>
  </si>
  <si>
    <t>XML</t>
  </si>
  <si>
    <t>&lt;feedback&gt;
 &lt;report_metadata&gt;&lt;org_name&gt;example-receiver.example&lt;/org_name&gt;&lt;date_range&gt;&lt;begin&gt;1788480000&lt;/begin&gt;&lt;end&gt;1788566400&lt;/end&gt;&lt;/date_range&gt;&lt;/report_metadata&gt;
 &lt;policy_published&gt;&lt;domain&gt;aldhabi.example&lt;/domain&gt;&lt;p&gt;reject&lt;/p&gt;&lt;pct&gt;100&lt;/pct&gt;&lt;/policy_published&gt;
 &lt;record&gt;&lt;row&gt;&lt;source_ip&gt;198.51.100.25&lt;/source_ip&gt;&lt;count&gt;1204&lt;/count&gt;&lt;policy_evaluated&gt;&lt;disposition&gt;none&lt;/disposition&gt;&lt;dkim&gt;pass&lt;/dkim&gt;&lt;spf&gt;pass&lt;/spf&gt;&lt;/policy_evaluated&gt;&lt;/row&gt;&lt;/record&gt;
&lt;/feedback&gt;
(1 domain report shown; across all reports 21 of 30 owned domains enforce quarantine/reject)</t>
  </si>
  <si>
    <t>Defender Safe Links/Safe Attachments</t>
  </si>
  <si>
    <t>Defender XDR Advanced Hunting API (URL click and attachment events)</t>
  </si>
  <si>
    <t>{"source": "Defender Safe Links/Safe Attachments", "tenant": "Al Dhabi Holdings", "collected_at": "2026-09-05T02:00:00Z", "blocked_clicks": 182, "malicious_clicks": 239, "sample_record": {"url": "hxxp://secure-login.example/verify", "verdict": "malicious", "click_action": "blocked"}}</t>
  </si>
  <si>
    <t>{"source": "Proofpoint", "tenant": "Al Dhabi Holdings", "collected_at": "2026-09-05T02:00:00Z", "blocked_clicks": 103, "malicious_clicks": 136, "sample_record": {"url": "hxxp://secure-login.example/verify", "verdict": "malicious", "click_action": "blocked"}}</t>
  </si>
  <si>
    <t>Microsoft Attack Simulation Training</t>
  </si>
  <si>
    <t>Microsoft Graph attackSimulation API</t>
  </si>
  <si>
    <t>{"source": "Microsoft Attack Simulation Training", "tenant": "Al Dhabi Holdings", "collected_at": "2026-09-05T02:00:00Z", "non_clickers": 61, "users_targeted": 98, "sample_record": {"campaign": "Q3-Invoice-Lure", "template": "Invoice overdue", "reported_by_users": 212}}</t>
  </si>
  <si>
    <t>KnowBe4</t>
  </si>
  <si>
    <t>KnowBe4 Reporting REST API</t>
  </si>
  <si>
    <t>{"source": "KnowBe4", "tenant": "Al Dhabi Holdings", "collected_at": "2026-09-05T02:00:00Z", "non_clickers": 63, "users_targeted": 102, "sample_record": {"campaign": "Q3-Invoice-Lure", "template": "Invoice overdue", "reported_by_users": 212}}</t>
  </si>
  <si>
    <t>Claroty</t>
  </si>
  <si>
    <t>Claroty REST API (CTD/xDome)</t>
  </si>
  <si>
    <t>{"source": "Claroty", "tenant": "Al Dhabi Holdings", "collected_at": "2026-09-05T02:00:00Z", "classified_assets": 133, "observed_assets": 151, "sample_record": {"asset_id": "PLC-0412", "vendor": "Siemens", "model": "S7-1500", "zone": "Plant-A", "purdue_level": 1, "classified": true}}</t>
  </si>
  <si>
    <t>Nozomi Networks</t>
  </si>
  <si>
    <t>Nozomi Guardian / Vantage REST API</t>
  </si>
  <si>
    <t>{"source": "Nozomi Networks", "tenant": "Al Dhabi Holdings", "collected_at": "2026-09-05T02:00:00Z", "classified_assets": 76, "observed_assets": 86, "sample_record": {"asset_id": "PLC-0412", "vendor": "Siemens", "model": "S7-1500", "zone": "Plant-A", "purdue_level": 1, "classified": true}}</t>
  </si>
  <si>
    <t>Armis</t>
  </si>
  <si>
    <t>Armis REST API</t>
  </si>
  <si>
    <t>{"source": "Armis", "tenant": "Al Dhabi Holdings", "collected_at": "2026-09-05T02:00:00Z", "classified_assets": 99, "observed_assets": 113, "sample_record": {"asset_id": "PLC-0412", "vendor": "Siemens", "model": "S7-1500", "zone": "Plant-A", "purdue_level": 1, "classified": true}}</t>
  </si>
  <si>
    <t>Nozomi</t>
  </si>
  <si>
    <t>{"source": "Nozomi", "tenant": "Al Dhabi Holdings", "collected_at": "2026-09-05T02:00:00Z", "monitored_sites": 12, "ot_sites": 13, "sample_record": {"site": "Abu Dhabi Plant 2", "sensor": "online", "last_seen": "2026-09-05T01:58:00Z"}}</t>
  </si>
  <si>
    <t>Dragos</t>
  </si>
  <si>
    <t>Dragos Platform (WorkBench) API</t>
  </si>
  <si>
    <t>{"source": "Dragos", "tenant": "Al Dhabi Holdings", "collected_at": "2026-09-05T02:00:00Z", "monitored_sites": 9, "ot_sites": 10, "sample_record": {"site": "Abu Dhabi Plant 2", "sensor": "online", "last_seen": "2026-09-05T01:58:00Z"}}</t>
  </si>
  <si>
    <t>{"source": "Claroty", "tenant": "Al Dhabi Holdings", "collected_at": "2026-09-05T02:00:00Z", "monitored_sites": 15, "ot_sites": 17, "sample_record": {"site": "Abu Dhabi Plant 2", "sensor": "online", "last_seen": "2026-09-05T01:58:00Z"}}</t>
  </si>
  <si>
    <t>Fortinet</t>
  </si>
  <si>
    <t>FortiManager / FortiOS REST API; syslog</t>
  </si>
  <si>
    <t>{"source": "Fortinet", "tenant": "Al Dhabi Holdings", "collected_at": "2026-09-05T02:00:00Z", "enforced_conduits": 7, "defined_conduits": 9, "sample_record": {"conduit": "IT-DMZ-to-Zone-L3", "rule_mode": "allow-list", "any_any_rules": 0}}</t>
  </si>
  <si>
    <t>Palo Alto Networks</t>
  </si>
  <si>
    <t>Panorama / PAN-OS REST API; syslog</t>
  </si>
  <si>
    <t>{"source": "Palo Alto Networks", "tenant": "Al Dhabi Holdings", "collected_at": "2026-09-05T02:00:00Z", "enforced_conduits": 10, "defined_conduits": 13, "sample_record": {"conduit": "IT-DMZ-to-Zone-L3", "rule_mode": "allow-list", "any_any_rules": 0}}</t>
  </si>
  <si>
    <t>Cisco</t>
  </si>
  <si>
    <t>Cisco firewall management REST API; syslog</t>
  </si>
  <si>
    <t>{"source": "Cisco", "tenant": "Al Dhabi Holdings", "collected_at": "2026-09-05T02:00:00Z", "enforced_conduits": 7, "defined_conduits": 10, "sample_record": {"conduit": "IT-DMZ-to-Zone-L3", "rule_mode": "allow-list", "any_any_rules": 0}}</t>
  </si>
  <si>
    <t>Microsoft Sentinel</t>
  </si>
  <si>
    <t>Log Analytics query API (KQL) / Sentinel REST API</t>
  </si>
  <si>
    <t>{"source": "Microsoft Sentinel", "tenant": "Al Dhabi Holdings", "collected_at": "2026-09-05T02:00:00Z", "triaged_in_sla": 40, "ot_alerts": 50, "sample_record": {"alert_id": "OT-88231", "severity": "high", "time_to_triage_min": 22, "sla_min": 30}}</t>
  </si>
  <si>
    <t>Splunk</t>
  </si>
  <si>
    <t>Splunk REST API search jobs; HTTP Event Collector for push</t>
  </si>
  <si>
    <t>{"source": "Splunk", "tenant": "Al Dhabi Holdings", "collected_at": "2026-09-05T02:00:00Z", "triaged_in_sla": 60, "ot_alerts": 75, "sample_record": {"alert_id": "OT-88231", "severity": "high", "time_to_triage_min": 22, "sla_min": 30}}</t>
  </si>
  <si>
    <t>QRadar</t>
  </si>
  <si>
    <t>QRadar REST API (Ariel searches)</t>
  </si>
  <si>
    <t>{"source": "QRadar", "tenant": "Al Dhabi Holdings", "collected_at": "2026-09-05T02:00:00Z", "triaged_in_sla": 72, "ot_alerts": 90, "sample_record": {"alert_id": "OT-88231", "severity": "high", "time_to_triage_min": 22, "sla_min": 30}}</t>
  </si>
  <si>
    <t>ServiceNow GRC</t>
  </si>
  <si>
    <t>ServiceNow Table API</t>
  </si>
  <si>
    <t>{"source": "ServiceNow GRC", "tenant": "Al Dhabi Holdings", "collected_at": "2026-09-05T02:00:00Z", "assessed_vendors": 1, "critical_vendors": 14, "sample_record": {"vendor": "CloudPay Services LLC", "tier": "critical", "last_assessment": "2025-07-14", "status": "expired"}}</t>
  </si>
  <si>
    <t>Archer</t>
  </si>
  <si>
    <t>Archer REST / web services API</t>
  </si>
  <si>
    <t>{"source": "Archer", "tenant": "Al Dhabi Holdings", "collected_at": "2026-09-05T02:00:00Z", "assessed_vendors": 1, "critical_vendors": 15, "sample_record": {"vendor": "CloudPay Services LLC", "tier": "critical", "last_assessment": "2025-07-14", "status": "expired"}}</t>
  </si>
  <si>
    <t>OneTrust</t>
  </si>
  <si>
    <t>OneTrust REST API</t>
  </si>
  <si>
    <t>{"source": "OneTrust", "tenant": "Al Dhabi Holdings", "collected_at": "2026-09-05T02:00:00Z", "assessed_vendors": 3, "critical_vendors": 21, "sample_record": {"vendor": "CloudPay Services LLC", "tier": "critical", "last_assessment": "2025-07-14", "status": "expired"}}</t>
  </si>
  <si>
    <t>SecurityScorecard</t>
  </si>
  <si>
    <t>SecurityScorecard REST API</t>
  </si>
  <si>
    <t>{"source": "SecurityScorecard", "tenant": "Al Dhabi Holdings", "collected_at": "2026-09-05T02:00:00Z", "good_rated_vendors": 2, "monitored_vendors": 5, "sample_record": {"vendor": "CloudPay Services LLC", "rating": "C", "score": 71}}</t>
  </si>
  <si>
    <t>BitSight</t>
  </si>
  <si>
    <t>BitSight REST API</t>
  </si>
  <si>
    <t>{"source": "BitSight", "tenant": "Al Dhabi Holdings", "collected_at": "2026-09-05T02:00:00Z", "good_rated_vendors": 2, "monitored_vendors": 6, "sample_record": {"vendor": "CloudPay Services LLC", "rating": "C", "score": 71}}</t>
  </si>
  <si>
    <t>Recorded Future</t>
  </si>
  <si>
    <t>Recorded Future REST API</t>
  </si>
  <si>
    <t>{"source": "Recorded Future", "tenant": "Al Dhabi Holdings", "collected_at": "2026-09-05T02:00:00Z", "good_rated_vendors": 3, "monitored_vendors": 9, "sample_record": {"vendor": "CloudPay Services LLC", "rating": "C", "score": 71}}</t>
  </si>
  <si>
    <t>Snyk</t>
  </si>
  <si>
    <t>Snyk REST API</t>
  </si>
  <si>
    <t>{"source": "Snyk", "tenant": "Al Dhabi Holdings", "collected_at": "2026-09-05T02:00:00Z", "clean_sbom_apps": 13, "apps_in_scope": 21, "sample_record": {"app": "payments-api", "sbom": "present", "critical_component_vulns": 2}}</t>
  </si>
  <si>
    <t>Mend</t>
  </si>
  <si>
    <t>Mend REST API</t>
  </si>
  <si>
    <t>{"source": "Mend", "tenant": "Al Dhabi Holdings", "collected_at": "2026-09-05T02:00:00Z", "clean_sbom_apps": 17, "apps_in_scope": 29, "sample_record": {"app": "payments-api", "sbom": "present", "critical_component_vulns": 2}}</t>
  </si>
  <si>
    <t>GitHub Advanced Security</t>
  </si>
  <si>
    <t>GitHub REST API (code scanning, Dependabot, secret scanning alerts)</t>
  </si>
  <si>
    <t>{"source": "GitHub Advanced Security", "tenant": "Al Dhabi Holdings", "collected_at": "2026-09-05T02:00:00Z", "clean_sbom_apps": 15, "apps_in_scope": 25, "sample_record": {"app": "payments-api", "sbom": "present", "critical_component_vulns": 2}}</t>
  </si>
  <si>
    <t>TPRM platforms</t>
  </si>
  <si>
    <t>Platform REST API or scheduled export</t>
  </si>
  <si>
    <t>{"source": "TPRM platforms", "tenant": "Al Dhabi Holdings", "collected_at": "2026-09-05T02:00:00Z", "triaged_events": 16, "vendor_events": 35, "sample_record": {"event": "Vendor breach advisory", "vendor": "DataBridge FZ-LLC", "triaged_hours": 6, "sla_hours": 24}}</t>
  </si>
  <si>
    <t>CTI platforms</t>
  </si>
  <si>
    <t>Platform REST API / TAXII feed</t>
  </si>
  <si>
    <t>{"source": "CTI platforms", "tenant": "Al Dhabi Holdings", "collected_at": "2026-09-05T02:00:00Z", "triaged_events": 20, "vendor_events": 45, "sample_record": {"event": "Vendor breach advisory", "vendor": "DataBridge FZ-LLC", "triaged_hours": 6, "sla_hours": 24}}</t>
  </si>
  <si>
    <t>Tenable Nessus</t>
  </si>
  <si>
    <t>Tenable REST API or .nessus export</t>
  </si>
  <si>
    <t>{"source": "Tenable Nessus", "tenant": "Al Dhabi Holdings", "collected_at": "2026-09-05T02:00:00Z", "remediated_in_sla": 8, "due_vulns": 126, "sample_record": {"vuln": "CVE-0000-0000 (placeholder)", "severity": "critical", "asset": "pay-gw-01", "age_days": 34, "sla_days": 14}}</t>
  </si>
  <si>
    <t>Qualys VMDR</t>
  </si>
  <si>
    <t>Qualys VMDR API</t>
  </si>
  <si>
    <t>{"source": "Qualys VMDR", "tenant": "Al Dhabi Holdings", "collected_at": "2026-09-05T02:00:00Z", "remediated_in_sla": 3, "due_vulns": 52, "sample_record": {"vuln": "CVE-0000-0000 (placeholder)", "severity": "critical", "asset": "pay-gw-01", "age_days": 34, "sla_days": 14}}</t>
  </si>
  <si>
    <t>Rapid7 InsightVM</t>
  </si>
  <si>
    <t>InsightVM API v3</t>
  </si>
  <si>
    <t>{"source": "Rapid7 InsightVM", "tenant": "Al Dhabi Holdings", "collected_at": "2026-09-05T02:00:00Z", "remediated_in_sla": 4, "due_vulns": 72, "sample_record": {"vuln": "CVE-0000-0000 (placeholder)", "severity": "critical", "asset": "pay-gw-01", "age_days": 34, "sla_days": 14}}</t>
  </si>
  <si>
    <t>Nmap</t>
  </si>
  <si>
    <t>Nmap XML output (-oX) from a scheduled scan job</t>
  </si>
  <si>
    <t>&lt;nmaprun scanner="nmap" start="1788573600"&gt;
 &lt;host&gt;&lt;status state="up"/&gt;&lt;address addr="203.0.113.14" addrtype="ipv4"/&gt;
  &lt;ports&gt;&lt;port protocol="tcp" portid="443"&gt;&lt;state state="open"/&gt;&lt;service name="https"/&gt;&lt;/port&gt;&lt;/ports&gt;&lt;/host&gt;
 &lt;runstats&gt;&lt;hosts up="200" down="0" total="200"/&gt;&lt;/runstats&gt;
&lt;/nmaprun&gt;
(1 of many hosts shown; matched-to-CMDB count 144 is derived in processing)</t>
  </si>
  <si>
    <t>Burp Suite</t>
  </si>
  <si>
    <t>Burp Suite Enterprise API; XML/HTML scan report</t>
  </si>
  <si>
    <t>&lt;issues&gt;&lt;issue&gt;&lt;name&gt;SQL injection&lt;/name&gt;&lt;host&gt;https://portal.aldhabi.example&lt;/host&gt;&lt;severity&gt;High&lt;/severity&gt;&lt;confidence&gt;Certain&lt;/confidence&gt;&lt;/issue&gt;&lt;/issues&gt;
(1 issue shown; processing counts 5 of 25 web apps clean of critical findings)</t>
  </si>
  <si>
    <t>OWASP ZAP</t>
  </si>
  <si>
    <t>ZAP REST API; JSON/XML report</t>
  </si>
  <si>
    <t>{"source": "OWASP ZAP", "tenant": "Al Dhabi Holdings", "collected_at": "2026-09-05T02:00:00Z", "clean_tested_apps": 4, "web_apps": 20, "sample_record": {"app": "customer-portal", "last_tested": "2026-06-12", "open_critical": 1}}</t>
  </si>
  <si>
    <t>{"source": "GitHub Advanced Security", "tenant": "Al Dhabi Holdings", "collected_at": "2026-09-05T02:00:00Z", "clean_scanned_repos": 7, "active_repos": 52, "sample_record": {"repo": "payments-service", "code_scanning": "enabled", "secret_scanning": "enabled", "open_critical_alerts": 1}}</t>
  </si>
  <si>
    <t>Checkmarx</t>
  </si>
  <si>
    <t>Checkmarx One REST API</t>
  </si>
  <si>
    <t>{"source": "Checkmarx", "tenant": "Al Dhabi Holdings", "collected_at": "2026-09-05T02:00:00Z", "clean_scanned_repos": 14, "active_repos": 99, "sample_record": {"repo": "payments-service", "code_scanning": "enabled", "secret_scanning": "enabled", "open_critical_alerts": 1}}</t>
  </si>
  <si>
    <t>{"source": "Snyk", "tenant": "Al Dhabi Holdings", "collected_at": "2026-09-05T02:00:00Z", "clean_scanned_repos": 14, "active_repos": 99, "sample_record": {"repo": "payments-service", "code_scanning": "enabled", "secret_scanning": "enabled", "open_critical_alerts": 1}}</t>
  </si>
  <si>
    <t>Microsoft Defender for Endpoint</t>
  </si>
  <si>
    <t>Defender XDR / Defender for Endpoint API</t>
  </si>
  <si>
    <t>{"source": "Microsoft Defender for Endpoint", "tenant": "Al Dhabi Holdings", "collected_at": "2026-09-05T02:00:00Z", "protected_devices": 224, "managed_devices": 466, "sample_record": {"device": "SRV-FIN-022", "edr_agent": "healthy", "tamper_protection": true, "ransomware_protection": "on"}}</t>
  </si>
  <si>
    <t>CrowdStrike Falcon</t>
  </si>
  <si>
    <t>CrowdStrike Falcon REST API (OAuth2) and Streaming API</t>
  </si>
  <si>
    <t>{"source": "CrowdStrike Falcon", "tenant": "Al Dhabi Holdings", "collected_at": "2026-09-05T02:00:00Z", "protected_devices": 372, "managed_devices": 774, "sample_record": {"device": "SRV-FIN-022", "edr_agent": "healthy", "tamper_protection": true, "ransomware_protection": "on"}}</t>
  </si>
  <si>
    <t>SentinelOne</t>
  </si>
  <si>
    <t>SentinelOne Management Console REST API</t>
  </si>
  <si>
    <t>{"source": "SentinelOne", "tenant": "Al Dhabi Holdings", "collected_at": "2026-09-05T02:00:00Z", "protected_devices": 364, "managed_devices": 760, "sample_record": {"device": "SRV-FIN-022", "edr_agent": "healthy", "tamper_protection": true, "ransomware_protection": "on"}}</t>
  </si>
  <si>
    <t>{"source": "Microsoft Sentinel", "tenant": "Al Dhabi Holdings", "collected_at": "2026-09-05T02:00:00Z", "contained_in_target": 21, "ransomware_alerts": 30, "sample_record": {"incident": "INC-20931", "playbook": "Isolate-Host-Ransomware", "contained_min": 9, "target_min": 15}}</t>
  </si>
  <si>
    <t>{"source": "Splunk", "tenant": "Al Dhabi Holdings", "collected_at": "2026-09-05T02:00:00Z", "contained_in_target": 37, "ransomware_alerts": 53, "sample_record": {"incident": "INC-20931", "playbook": "Isolate-Host-Ransomware", "contained_min": 9, "target_min": 15}}</t>
  </si>
  <si>
    <t>Cortex XSOAR</t>
  </si>
  <si>
    <t>XSOAR REST API (incidents, playbook runs)</t>
  </si>
  <si>
    <t>{"source": "Cortex XSOAR", "tenant": "Al Dhabi Holdings", "collected_at": "2026-09-05T02:00:00Z", "contained_in_target": 26, "ransomware_alerts": 37, "sample_record": {"incident": "INC-20931", "playbook": "Isolate-Host-Ransomware", "contained_min": 9, "target_min": 15}}</t>
  </si>
  <si>
    <t>Veeam</t>
  </si>
  <si>
    <t>Veeam Backup &amp; Replication REST API; Veeam ONE reports</t>
  </si>
  <si>
    <t>{"source": "Veeam", "tenant": "Al Dhabi Holdings", "collected_at": "2026-09-05T02:00:00Z", "immutable_systems": 35, "critical_systems": 70, "sample_record": {"system": "SQL-PAY-01", "backup_copy": "immutable", "retention_days": 35, "last_job": "success"}}</t>
  </si>
  <si>
    <t>Rubrik</t>
  </si>
  <si>
    <t>Rubrik REST / GraphQL API</t>
  </si>
  <si>
    <t>{"source": "Rubrik", "tenant": "Al Dhabi Holdings", "collected_at": "2026-09-05T02:00:00Z", "immutable_systems": 27, "critical_systems": 54, "sample_record": {"system": "SQL-PAY-01", "backup_copy": "immutable", "retention_days": 35, "last_job": "success"}}</t>
  </si>
  <si>
    <t>Cohesity</t>
  </si>
  <si>
    <t>Cohesity (Helios) REST API</t>
  </si>
  <si>
    <t>{"source": "Cohesity", "tenant": "Al Dhabi Holdings", "collected_at": "2026-09-05T02:00:00Z", "immutable_systems": 40, "critical_systems": 80, "sample_record": {"system": "SQL-PAY-01", "backup_copy": "immutable", "retention_days": 35, "last_job": "success"}}</t>
  </si>
  <si>
    <t>ServiceNow BCM</t>
  </si>
  <si>
    <t>{"source": "ServiceNow BCM", "tenant": "Al Dhabi Holdings", "collected_at": "2026-09-05T02:00:00Z", "tests_met_target": 2, "tests_executed": 8, "sample_record": {"service": "Core Payments", "rto_target_h": 4, "rto_actual_h": 13, "result": "fail"}}</t>
  </si>
  <si>
    <t>Zerto</t>
  </si>
  <si>
    <t>Zerto Virtual Manager REST API</t>
  </si>
  <si>
    <t>{"source": "Zerto", "tenant": "Al Dhabi Holdings", "collected_at": "2026-09-05T02:00:00Z", "tests_met_target": 2, "tests_executed": 10, "sample_record": {"service": "Core Payments", "rto_target_h": 4, "rto_actual_h": 13, "result": "fail"}}</t>
  </si>
  <si>
    <t>{"source": "Veeam", "tenant": "Al Dhabi Holdings", "collected_at": "2026-09-05T02:00:00Z", "tests_met_target": 3, "tests_executed": 10, "sample_record": {"service": "Core Payments", "rto_target_h": 4, "rto_actual_h": 13, "result": "fail"}}</t>
  </si>
  <si>
    <t>Wiz</t>
  </si>
  <si>
    <t>Wiz GraphQL API</t>
  </si>
  <si>
    <t>{"source": "Wiz", "tenant": "Al Dhabi Holdings", "collected_at": "2026-09-05T02:00:00Z", "passing_resources": 1583, "scanned_resources": 1632, "sample_record": {"resource": "s3://al-dhabi-reports", "rule": "Public access blocked", "status": "pass"}}</t>
  </si>
  <si>
    <t>Microsoft Defender for Cloud</t>
  </si>
  <si>
    <t>Azure Resource Graph / Defender for Cloud REST API</t>
  </si>
  <si>
    <t>{"source": "Microsoft Defender for Cloud", "tenant": "Al Dhabi Holdings", "collected_at": "2026-09-05T02:00:00Z", "passing_resources": 739, "scanned_resources": 762, "sample_record": {"resource": "s3://al-dhabi-reports", "rule": "Public access blocked", "status": "pass"}}</t>
  </si>
  <si>
    <t>Prisma Cloud</t>
  </si>
  <si>
    <t>Prisma Cloud REST API</t>
  </si>
  <si>
    <t>{"source": "Prisma Cloud", "tenant": "Al Dhabi Holdings", "collected_at": "2026-09-05T02:00:00Z", "passing_resources": 879, "scanned_resources": 906, "sample_record": {"resource": "s3://al-dhabi-reports", "rule": "Public access blocked", "status": "pass"}}</t>
  </si>
  <si>
    <t>{"source": "Wiz", "tenant": "Al Dhabi Holdings", "collected_at": "2026-09-05T02:00:00Z", "clean_exposed_workloads": 55, "exposed_workloads": 66, "sample_record": {"workload": "vm-web-07", "exposed": true, "critical_vulns": 0, "attack_path": false}}</t>
  </si>
  <si>
    <t>{"source": "Prisma Cloud", "tenant": "Al Dhabi Holdings", "collected_at": "2026-09-05T02:00:00Z", "clean_exposed_workloads": 34, "exposed_workloads": 41, "sample_record": {"workload": "vm-web-07", "exposed": true, "critical_vulns": 0, "attack_path": false}}</t>
  </si>
  <si>
    <t>{"source": "Microsoft Defender for Cloud", "tenant": "Al Dhabi Holdings", "collected_at": "2026-09-05T02:00:00Z", "clean_exposed_workloads": 58, "exposed_workloads": 68, "sample_record": {"workload": "vm-web-07", "exposed": true, "critical_vulns": 0, "attack_path": false}}</t>
  </si>
  <si>
    <t>Microsoft Entra Permissions Management</t>
  </si>
  <si>
    <t>Entra Permissions Management API / export</t>
  </si>
  <si>
    <t>{"source": "Microsoft Entra Permissions Management", "tenant": "Al Dhabi Holdings", "collected_at": "2026-09-05T02:00:00Z", "least_privilege_identities": 652, "analyzed_identities": 1018, "sample_record": {"identity": "svc-etl-prod", "permissions_granted": 412, "permissions_used_90d": 37, "least_privilege": false}}</t>
  </si>
  <si>
    <t>native cloud IAM</t>
  </si>
  <si>
    <t>AWS IAM Access Analyzer, Azure RBAC and GCP IAM recommender APIs</t>
  </si>
  <si>
    <t>{"source": "native cloud IAM", "tenant": "Al Dhabi Holdings", "collected_at": "2026-09-05T02:00:00Z", "least_privilege_identities": 340, "analyzed_identities": 532, "sample_record": {"identity": "svc-etl-prod", "permissions_granted": 412, "permissions_used_90d": 37, "least_privilege": false}}</t>
  </si>
  <si>
    <t>{"source": "Prisma Cloud", "tenant": "Al Dhabi Holdings", "collected_at": "2026-09-05T02:00:00Z", "passing_artifacts": 91, "scanned_artifacts": 121, "sample_record": {"artifact": "registry.example/pay-api:2.4.1", "gate": "pass", "critical_vulns": 0}}</t>
  </si>
  <si>
    <t>Aqua</t>
  </si>
  <si>
    <t>Aqua REST API</t>
  </si>
  <si>
    <t>{"source": "Aqua", "tenant": "Al Dhabi Holdings", "collected_at": "2026-09-05T02:00:00Z", "passing_artifacts": 108, "scanned_artifacts": 144, "sample_record": {"artifact": "registry.example/pay-api:2.4.1", "gate": "pass", "critical_vulns": 0}}</t>
  </si>
  <si>
    <t>{"source": "Snyk", "tenant": "Al Dhabi Holdings", "collected_at": "2026-09-05T02:00:00Z", "passing_artifacts": 176, "scanned_artifacts": 235, "sample_record": {"artifact": "registry.example/pay-api:2.4.1", "gate": "pass", "critical_vulns": 0}}</t>
  </si>
  <si>
    <t>Microsoft Entra ID</t>
  </si>
  <si>
    <t>Microsoft Graph API (users, sign-in logs, conditional access)</t>
  </si>
  <si>
    <t>{"source": "Microsoft Entra ID", "tenant": "Al Dhabi Holdings", "collected_at": "2026-09-05T02:00:00Z", "sso_apps": 40, "business_apps": 57, "sample_record": {"app": "HR Portal", "sso": "SAML", "integrated": true}}</t>
  </si>
  <si>
    <t>Okta</t>
  </si>
  <si>
    <t>Okta Management and System Log APIs</t>
  </si>
  <si>
    <t>{"source": "Okta", "tenant": "Al Dhabi Holdings", "collected_at": "2026-09-05T02:00:00Z", "sso_apps": 30, "business_apps": 43, "sample_record": {"app": "HR Portal", "sso": "SAML", "integrated": true}}</t>
  </si>
  <si>
    <t>Entra ID</t>
  </si>
  <si>
    <t>{"source": "Entra ID", "tenant": "Al Dhabi Holdings", "collected_at": "2026-09-05T02:00:00Z", "mfa_users": 498, "active_users": 923, "sample_record": {"user": "user0192@aldhabi.example", "mfa_registered": true, "ca_policy_applied": "CA-Require-MFA"}}</t>
  </si>
  <si>
    <t>Duo</t>
  </si>
  <si>
    <t>Duo Admin API</t>
  </si>
  <si>
    <t>{"source": "Duo", "tenant": "Al Dhabi Holdings", "collected_at": "2026-09-05T02:00:00Z", "mfa_users": 1176, "active_users": 2177, "sample_record": {"user": "user0192@aldhabi.example", "mfa_registered": true, "ca_policy_applied": "CA-Require-MFA"}}</t>
  </si>
  <si>
    <t>CyberArk</t>
  </si>
  <si>
    <t>CyberArk PVWA / Privilege Cloud REST API</t>
  </si>
  <si>
    <t>{"source": "CyberArk", "tenant": "Al Dhabi Holdings", "collected_at": "2026-09-05T02:00:00Z", "managed_privileged_accounts": 26, "privileged_accounts": 68, "sample_record": {"account": "adm-db-prod-01", "vaulted": true, "rotation_days": 30, "session_recording": false}}</t>
  </si>
  <si>
    <t>BeyondTrust</t>
  </si>
  <si>
    <t>BeyondTrust Password Safe REST API</t>
  </si>
  <si>
    <t>{"source": "BeyondTrust", "tenant": "Al Dhabi Holdings", "collected_at": "2026-09-05T02:00:00Z", "managed_privileged_accounts": 30, "privileged_accounts": 79, "sample_record": {"account": "adm-db-prod-01", "vaulted": true, "rotation_days": 30, "session_recording": false}}</t>
  </si>
  <si>
    <t>Delinea</t>
  </si>
  <si>
    <t>Delinea Secret Server / Platform REST API</t>
  </si>
  <si>
    <t>{"source": "Delinea", "tenant": "Al Dhabi Holdings", "collected_at": "2026-09-05T02:00:00Z", "managed_privileged_accounts": 20, "privileged_accounts": 53, "sample_record": {"account": "adm-db-prod-01", "vaulted": true, "rotation_days": 30, "session_recording": false}}</t>
  </si>
  <si>
    <t>SailPoint</t>
  </si>
  <si>
    <t>SailPoint Identity Security Cloud REST API</t>
  </si>
  <si>
    <t>{"source": "SailPoint", "tenant": "Al Dhabi Holdings", "collected_at": "2026-09-05T02:00:00Z", "reviews_on_time": 63, "reviews_due": 69, "sample_record": {"campaign": "Q3-Finance-Review", "status": "overdue", "reviewer": "manager.finance@aldhabi.example"}}</t>
  </si>
  <si>
    <t>Saviynt</t>
  </si>
  <si>
    <t>Saviynt REST API</t>
  </si>
  <si>
    <t>{"source": "Saviynt", "tenant": "Al Dhabi Holdings", "collected_at": "2026-09-05T02:00:00Z", "reviews_on_time": 98, "reviews_due": 106, "sample_record": {"campaign": "Q3-Finance-Review", "status": "overdue", "reviewer": "manager.finance@aldhabi.example"}}</t>
  </si>
  <si>
    <t>{"source": "ServiceNow GRC", "tenant": "Al Dhabi Holdings", "collected_at": "2026-09-05T02:00:00Z", "managed_risks": 43, "open_risks": 48, "sample_record": {"risk_id": "R-0482", "owner": "CIO", "treatment": "mitigate", "last_review": "2026-07-30"}}</t>
  </si>
  <si>
    <t>{"source": "Archer", "tenant": "Al Dhabi Holdings", "collected_at": "2026-09-05T02:00:00Z", "managed_risks": 22, "open_risks": 24, "sample_record": {"risk_id": "R-0482", "owner": "CIO", "treatment": "mitigate", "last_review": "2026-07-30"}}</t>
  </si>
  <si>
    <t>{"source": "OneTrust", "tenant": "Al Dhabi Holdings", "collected_at": "2026-09-05T02:00:00Z", "managed_risks": 52, "open_risks": 58, "sample_record": {"risk_id": "R-0482", "owner": "CIO", "treatment": "mitigate", "last_review": "2026-07-30"}}</t>
  </si>
  <si>
    <t>{"source": "GRC platforms", "tenant": "Al Dhabi Holdings", "collected_at": "2026-09-05T02:00:00Z", "policies_in_date": 27, "policies_total": 32, "sample_record": {"policy": "Access Control Policy", "version": "3.2", "approved": "2025-11-04", "review_cycle_months": 12}}</t>
  </si>
  <si>
    <t>{"source": "Microsoft Purview", "tenant": "Al Dhabi Holdings", "collected_at": "2026-09-05T02:00:00Z", "policies_in_date": 24, "policies_total": 28, "sample_record": {"policy": "Access Control Policy", "version": "3.2", "approved": "2025-11-04", "review_cycle_months": 12}}</t>
  </si>
  <si>
    <t>Power BI</t>
  </si>
  <si>
    <t>Power BI REST API / semantic model export</t>
  </si>
  <si>
    <t>{"source": "Power BI", "tenant": "Al Dhabi Holdings", "collected_at": "2026-09-05T02:00:00Z", "automated_kpis": 6, "kpis_defined": 7, "sample_record": {"kpi": "Mean time to contain", "source": "SIEM", "automated": true, "last_refresh": "2026-09-04"}}</t>
  </si>
  <si>
    <t>GRC dashboards</t>
  </si>
  <si>
    <t>GRC platform reporting API / export</t>
  </si>
  <si>
    <t>{"source": "GRC dashboards", "tenant": "Al Dhabi Holdings", "collected_at": "2026-09-05T02:00:00Z", "automated_kpis": 9, "kpis_defined": 11, "sample_record": {"kpi": "Mean time to contain", "source": "SIEM", "automated": true, "last_refresh": "2026-09-04"}}</t>
  </si>
  <si>
    <t>SIEM dashboards</t>
  </si>
  <si>
    <t>SIEM saved-search / dashboard API</t>
  </si>
  <si>
    <t>{"source": "SIEM dashboards", "tenant": "Al Dhabi Holdings", "collected_at": "2026-09-05T02:00:00Z", "automated_kpis": 5, "kpis_defined": 7, "sample_record": {"kpi": "Mean time to contain", "source": "SIEM", "automated": true, "last_refresh": "2026-09-04"}}</t>
  </si>
  <si>
    <t>{"source": "ServiceNow BCM", "tenant": "Al Dhabi Holdings", "collected_at": "2026-09-05T02:00:00Z", "tested_processes": 7, "critical_processes": 12, "sample_record": {"process": "Card settlement", "plan": "BCP-021", "last_exercise": "2025-05-20", "result": "partial"}}</t>
  </si>
  <si>
    <t>{"source": "Archer", "tenant": "Al Dhabi Holdings", "collected_at": "2026-09-05T02:00:00Z", "tested_processes": 14, "critical_processes": 23, "sample_record": {"process": "Card settlement", "plan": "BCP-021", "last_exercise": "2025-05-20", "result": "partial"}}</t>
  </si>
  <si>
    <t>{"source": "Microsoft Sentinel", "tenant": "Al Dhabi Holdings", "collected_at": "2026-09-05T02:00:00Z", "healthy_sources": 12, "required_sources": 30, "sample_record": {"source": "DC01-Security", "last_event": "2026-09-05T01:59:12Z", "status": "healthy"}}</t>
  </si>
  <si>
    <t>{"source": "Splunk", "tenant": "Al Dhabi Holdings", "collected_at": "2026-09-05T02:00:00Z", "healthy_sources": 18, "required_sources": 44, "sample_record": {"source": "DC01-Security", "last_event": "2026-09-05T01:59:12Z", "status": "healthy"}}</t>
  </si>
  <si>
    <t>IBM QRadar</t>
  </si>
  <si>
    <t>{"source": "IBM QRadar", "tenant": "Al Dhabi Holdings", "collected_at": "2026-09-05T02:00:00Z", "healthy_sources": 16, "required_sources": 41, "sample_record": {"source": "DC01-Security", "last_event": "2026-09-05T01:59:12Z", "status": "healthy"}}</t>
  </si>
  <si>
    <t>{"source": "Cortex XSOAR", "tenant": "Al Dhabi Holdings", "collected_at": "2026-09-05T02:00:00Z", "automated_incidents": 33, "eligible_incidents": 110, "sample_record": {"incident": "INC-20877", "playbook": "Phish-Triage", "result": "success", "duration_s": 48}}</t>
  </si>
  <si>
    <t>Splunk SOAR</t>
  </si>
  <si>
    <t>Splunk SOAR REST API</t>
  </si>
  <si>
    <t>{"source": "Splunk SOAR", "tenant": "Al Dhabi Holdings", "collected_at": "2026-09-05T02:00:00Z", "automated_incidents": 14, "eligible_incidents": 48, "sample_record": {"incident": "INC-20877", "playbook": "Phish-Triage", "result": "success", "duration_s": 48}}</t>
  </si>
  <si>
    <t>Sentinel automation</t>
  </si>
  <si>
    <t>Azure Monitor / Logic Apps run history and Sentinel incident API</t>
  </si>
  <si>
    <t>{"source": "Sentinel automation", "tenant": "Al Dhabi Holdings", "collected_at": "2026-09-05T02:00:00Z", "automated_incidents": 22, "eligible_incidents": 72, "sample_record": {"incident": "INC-20877", "playbook": "Phish-Triage", "result": "success", "duration_s": 48}}</t>
  </si>
  <si>
    <t>Defender</t>
  </si>
  <si>
    <t>{"source": "Defender", "tenant": "Al Dhabi Holdings", "collected_at": "2026-09-05T02:00:00Z", "reporting_endpoints": 68, "inventory_endpoints": 273, "sample_record": {"device": "WKS-HR-114", "last_seen": "2026-09-05T01:40:00Z", "sensor": "active"}}</t>
  </si>
  <si>
    <t>CrowdStrike</t>
  </si>
  <si>
    <t>{"source": "CrowdStrike", "tenant": "Al Dhabi Holdings", "collected_at": "2026-09-05T02:00:00Z", "reporting_endpoints": 139, "inventory_endpoints": 556, "sample_record": {"device": "WKS-HR-114", "last_seen": "2026-09-05T01:40:00Z", "sensor": "active"}}</t>
  </si>
  <si>
    <t>{"source": "SentinelOne", "tenant": "Al Dhabi Holdings", "collected_at": "2026-09-05T02:00:00Z", "reporting_endpoints": 178, "inventory_endpoints": 714, "sample_record": {"device": "WKS-HR-114", "last_seen": "2026-09-05T01:40:00Z", "sensor": "active"}}</t>
  </si>
  <si>
    <t>Cortex XDR</t>
  </si>
  <si>
    <t>Cortex XDR API</t>
  </si>
  <si>
    <t>{"source": "Cortex XDR", "tenant": "Al Dhabi Holdings", "collected_at": "2026-09-05T02:00:00Z", "reporting_endpoints": 117, "inventory_endpoints": 465, "sample_record": {"device": "WKS-HR-114", "last_seen": "2026-09-05T01:40:00Z", "sensor": "active"}}</t>
  </si>
  <si>
    <t>Vectra</t>
  </si>
  <si>
    <t>Vectra Detect REST API</t>
  </si>
  <si>
    <t>{"source": "Vectra", "tenant": "Al Dhabi Holdings", "collected_at": "2026-09-05T02:00:00Z", "covered_segments": 3, "segments_in_scope": 17, "sample_record": {"segment": "DMZ-Payments", "ndr_sensor": "yes", "ueba": "no", "ti_enrichment": "yes"}}</t>
  </si>
  <si>
    <t>ExtraHop</t>
  </si>
  <si>
    <t>ExtraHop REST API</t>
  </si>
  <si>
    <t>{"source": "ExtraHop", "tenant": "Al Dhabi Holdings", "collected_at": "2026-09-05T02:00:00Z", "covered_segments": 2, "segments_in_scope": 10, "sample_record": {"segment": "DMZ-Payments", "ndr_sensor": "yes", "ueba": "no", "ti_enrichment": "yes"}}</t>
  </si>
  <si>
    <t>Microsoft UEBA</t>
  </si>
  <si>
    <t>Sentinel UEBA tables via Log Analytics API</t>
  </si>
  <si>
    <t>{"source": "Microsoft UEBA", "tenant": "Al Dhabi Holdings", "collected_at": "2026-09-05T02:00:00Z", "covered_segments": 2, "segments_in_scope": 13, "sample_record": {"segment": "DMZ-Payments", "ndr_sensor": "yes", "ueba": "no", "ti_enrichment": "yes"}}</t>
  </si>
  <si>
    <t>MISP</t>
  </si>
  <si>
    <t>MISP REST API (PyMISP)</t>
  </si>
  <si>
    <t>{"source": "MISP", "tenant": "Al Dhabi Holdings", "collected_at": "2026-09-05T02:00:00Z", "covered_segments": 2, "segments_in_scope": 20, "sample_record": {"segment": "DMZ-Payments", "ndr_sensor": "yes", "ueba": "no", "ti_enrichment": "yes"}}</t>
  </si>
  <si>
    <t>{"source": "Microsoft Purview", "tenant": "Al Dhabi Holdings", "collected_at": "2026-09-05T02:00:00Z", "classified_stores": 25, "stores_in_scope": 83, "sample_record": {"datastore": "sql-cardholder-01", "scanned": "2026-08-28", "labels": ["Cardholder Data"]}}</t>
  </si>
  <si>
    <t>BigID</t>
  </si>
  <si>
    <t>BigID REST API</t>
  </si>
  <si>
    <t>{"source": "BigID", "tenant": "Al Dhabi Holdings", "collected_at": "2026-09-05T02:00:00Z", "classified_stores": 20, "stores_in_scope": 67, "sample_record": {"datastore": "sql-cardholder-01", "scanned": "2026-08-28", "labels": ["Cardholder Data"]}}</t>
  </si>
  <si>
    <t>{"source": "Microsoft Purview DLP", "tenant": "Al Dhabi Holdings", "collected_at": "2026-09-05T02:00:00Z", "handled_events": 263, "egress_events": 425, "sample_record": {"policy": "PCI-PAN-Egress", "channel": "email", "action": "blocked"}}</t>
  </si>
  <si>
    <t>Symantec DLP</t>
  </si>
  <si>
    <t>Symantec DLP Enforce REST API</t>
  </si>
  <si>
    <t>{"source": "Symantec DLP", "tenant": "Al Dhabi Holdings", "collected_at": "2026-09-05T02:00:00Z", "handled_events": 156, "egress_events": 252, "sample_record": {"policy": "PCI-PAN-Egress", "channel": "email", "action": "blocked"}}</t>
  </si>
  <si>
    <t>Forcepoint</t>
  </si>
  <si>
    <t>Forcepoint DLP REST API; syslog</t>
  </si>
  <si>
    <t>{"source": "Forcepoint", "tenant": "Al Dhabi Holdings", "collected_at": "2026-09-05T02:00:00Z", "handled_events": 263, "egress_events": 423, "sample_record": {"policy": "PCI-PAN-Egress", "channel": "email", "action": "blocked"}}</t>
  </si>
  <si>
    <t>Azure Key Vault</t>
  </si>
  <si>
    <t>Azure Monitor diagnostic logs and Key Vault REST API</t>
  </si>
  <si>
    <t>{"source": "Azure Key Vault", "tenant": "Al Dhabi Holdings", "collected_at": "2026-09-05T02:00:00Z", "encrypted_stores": 55, "stores_total": 79, "sample_record": {"datastore": "blob-reports-02", "encrypted": true, "key": "kv-prod/key-14", "last_rotated": "2026-03-02"}}</t>
  </si>
  <si>
    <t>AWS KMS</t>
  </si>
  <si>
    <t>AWS CloudTrail and KMS API</t>
  </si>
  <si>
    <t>{"source": "AWS KMS", "tenant": "Al Dhabi Holdings", "collected_at": "2026-09-05T02:00:00Z", "encrypted_stores": 38, "stores_total": 54, "sample_record": {"datastore": "blob-reports-02", "encrypted": true, "key": "kv-prod/key-14", "last_rotated": "2026-03-02"}}</t>
  </si>
  <si>
    <t>HashiCorp Vault</t>
  </si>
  <si>
    <t>Vault audit device logs and sys API</t>
  </si>
  <si>
    <t>{"source": "HashiCorp Vault", "tenant": "Al Dhabi Holdings", "collected_at": "2026-09-05T02:00:00Z", "encrypted_stores": 33, "stores_total": 47, "sample_record": {"datastore": "blob-reports-02", "encrypted": true, "key": "kv-prod/key-14", "last_rotated": "2026-03-02"}}</t>
  </si>
  <si>
    <t>IBM Guardium</t>
  </si>
  <si>
    <t>Guardium REST API; syslog</t>
  </si>
  <si>
    <t>{"source": "IBM Guardium", "tenant": "Al Dhabi Holdings", "collected_at": "2026-09-05T02:00:00Z", "monitored_dbs": 51, "databases_total": 110, "sample_record": {"database": "ORA-PAY-03", "monitoring": "enabled", "last_event": "2026-09-05T01:55:00Z"}}</t>
  </si>
  <si>
    <t>Imperva</t>
  </si>
  <si>
    <t>Imperva Data Security API / log export</t>
  </si>
  <si>
    <t>{"source": "Imperva", "tenant": "Al Dhabi Holdings", "collected_at": "2026-09-05T02:00:00Z", "monitored_dbs": 64, "databases_total": 140, "sample_record": {"database": "ORA-PAY-03", "monitoring": "enabled", "last_event": "2026-09-05T01:55:00Z"}}</t>
  </si>
  <si>
    <t>{"source": "ServiceNow GRC", "tenant": "Al Dhabi Holdings", "collected_at": "2026-09-05T02:00:00Z", "mapped_controls": 138, "controls_total": 191, "sample_record": {"control": "AC-12", "frameworks": ["ISO 27001", "PCI DSS v4.0"], "owner": "IAM Lead"}}</t>
  </si>
  <si>
    <t>{"source": "Archer", "tenant": "Al Dhabi Holdings", "collected_at": "2026-09-05T02:00:00Z", "mapped_controls": 122, "controls_total": 169, "sample_record": {"control": "AC-12", "frameworks": ["ISO 27001", "PCI DSS v4.0"], "owner": "IAM Lead"}}</t>
  </si>
  <si>
    <t>{"source": "OneTrust", "tenant": "Al Dhabi Holdings", "collected_at": "2026-09-05T02:00:00Z", "mapped_controls": 82, "controls_total": 115, "sample_record": {"control": "AC-12", "frameworks": ["ISO 27001", "PCI DSS v4.0"], "owner": "IAM Lead"}}</t>
  </si>
  <si>
    <t>{"source": "Wiz", "tenant": "Al Dhabi Holdings", "collected_at": "2026-09-05T02:00:00Z", "passing_checks": 568, "evaluated_checks": 617, "sample_record": {"standard": "CIS Azure", "rule": "Storage encryption", "status": "pass"}}</t>
  </si>
  <si>
    <t>Defender for Cloud</t>
  </si>
  <si>
    <t>{"source": "Defender for Cloud", "tenant": "Al Dhabi Holdings", "collected_at": "2026-09-05T02:00:00Z", "passing_checks": 440, "evaluated_checks": 478, "sample_record": {"standard": "CIS Azure", "rule": "Storage encryption", "status": "pass"}}</t>
  </si>
  <si>
    <t>{"source": "Prisma Cloud", "tenant": "Al Dhabi Holdings", "collected_at": "2026-09-05T02:00:00Z", "passing_checks": 418, "evaluated_checks": 455, "sample_record": {"standard": "CIS Azure", "rule": "Storage encryption", "status": "pass"}}</t>
  </si>
  <si>
    <t>Qualys</t>
  </si>
  <si>
    <t>{"source": "Qualys", "tenant": "Al Dhabi Holdings", "collected_at": "2026-09-05T02:00:00Z", "patched_assets": 292, "assets_in_scope": 443, "sample_record": {"asset": "SRV-APP-310", "missing_critical_patches": 0, "days_since_release": 9}}</t>
  </si>
  <si>
    <t>Tenable</t>
  </si>
  <si>
    <t>Tenable REST API</t>
  </si>
  <si>
    <t>{"source": "Tenable", "tenant": "Al Dhabi Holdings", "collected_at": "2026-09-05T02:00:00Z", "patched_assets": 355, "assets_in_scope": 538, "sample_record": {"asset": "SRV-APP-310", "missing_critical_patches": 0, "days_since_release": 9}}</t>
  </si>
  <si>
    <t>Rapid7</t>
  </si>
  <si>
    <t>{"source": "Rapid7", "tenant": "Al Dhabi Holdings", "collected_at": "2026-09-05T02:00:00Z", "patched_assets": 341, "assets_in_scope": 516, "sample_record": {"asset": "SRV-APP-310", "missing_critical_patches": 0, "days_since_release": 9}}</t>
  </si>
  <si>
    <t>Intune</t>
  </si>
  <si>
    <t>Microsoft Graph deviceManagement API</t>
  </si>
  <si>
    <t>{"source": "Intune", "tenant": "Al Dhabi Holdings", "collected_at": "2026-09-05T02:00:00Z", "patched_assets": 431, "assets_in_scope": 653, "sample_record": {"asset": "SRV-APP-310", "missing_critical_patches": 0, "days_since_release": 9}}</t>
  </si>
  <si>
    <t>{"source": "GRC platforms", "tenant": "Al Dhabi Holdings", "collected_at": "2026-09-05T02:00:00Z", "controls_with_evidence": 147, "controls_requiring_evidence": 171, "sample_record": {"control": "AC-12", "evidence": "access-review-Q3.pdf", "collected": "2026-08-30"}}</t>
  </si>
  <si>
    <t>compliance automation tools</t>
  </si>
  <si>
    <t>{"source": "compliance automation tools", "tenant": "Al Dhabi Holdings", "collected_at": "2026-09-05T02:00:00Z", "controls_with_evidence": 240, "controls_requiring_evidence": 279, "sample_record": {"control": "AC-12", "evidence": "access-review-Q3.pdf", "collected": "2026-08-30"}}</t>
  </si>
  <si>
    <t>Normalized signals: one metric per tool category</t>
  </si>
  <si>
    <t>Numerator and denominator sum the product rows on 'Products and Samples'. Gap % = 1 - numerator/denominator. Risk points = weight x gap. Weights (blue) are policy inputs per domain and total 100.</t>
  </si>
  <si>
    <t>Compliance %</t>
  </si>
  <si>
    <t>Gap %</t>
  </si>
  <si>
    <t>Weight</t>
  </si>
  <si>
    <t>Risk points</t>
  </si>
  <si>
    <t>Domain risk calculation and enterprise composite: Al Dhabi Holdings, snapshot 5 Sep 2026</t>
  </si>
  <si>
    <t>Score = sum of risk points for the domain's four tool categories (0-100, higher = more risk). Stored score is the value in domain_risk_snapshots.</t>
  </si>
  <si>
    <t>Calculated score</t>
  </si>
  <si>
    <t>Stored score (DB)</t>
  </si>
  <si>
    <t>Check</t>
  </si>
  <si>
    <t>Severity</t>
  </si>
  <si>
    <t>Rank (1 = highest risk)</t>
  </si>
  <si>
    <t>Escalation candidate</t>
  </si>
  <si>
    <t>Largest driver (tool category)</t>
  </si>
  <si>
    <t>Driver gap</t>
  </si>
  <si>
    <t>Headline (auto-generated)</t>
  </si>
  <si>
    <t>Enterprise composite (average of 12 domains)</t>
  </si>
  <si>
    <t>Stored composite is the value in enterprise_risk_score_snapshots (average of the 12 domain scores).</t>
  </si>
  <si>
    <t>Severity thresholds (inferred from sample data min/max per severity)</t>
  </si>
  <si>
    <t>medium from</t>
  </si>
  <si>
    <t>Below the medium threshold = low.</t>
  </si>
  <si>
    <t>high from</t>
  </si>
  <si>
    <t>critical from</t>
  </si>
  <si>
    <t>Top 3 domains are the escalation candidates: they are turned into findings, then business impact and executive decisions (risk_findings, business_impact_assessments, executive_decisions).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</si>
</sst>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charset val="1"/>
    </font>
    <font>
      <b/>
      <sz val="15"/>
      <color rgb="FF101820"/>
      <name val="Arial"/>
      <charset val="1"/>
    </font>
    <font>
      <i/>
      <sz val="9"/>
      <color rgb="FF5C6A75"/>
      <name val="Arial"/>
      <charset val="1"/>
    </font>
    <font>
      <b/>
      <sz val="12"/>
      <color rgb="FF1F6FEB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9"/>
      <name val="Arial"/>
      <charset val="1"/>
    </font>
    <font>
      <sz val="10"/>
      <color rgb="FF0000FF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01820"/>
        <bgColor rgb="FF000000"/>
      </patternFill>
    </fill>
  </fills>
  <borders count="2">
    <border>
      <left/>
      <right/>
      <top/>
      <bottom/>
      <diagonal/>
    </border>
    <border>
      <left style="thin">
        <color rgb="FFD0D5DA"/>
      </left>
      <right style="thin">
        <color rgb="FFD0D5DA"/>
      </right>
      <top style="thin">
        <color rgb="FFD0D5DA"/>
      </top>
      <bottom style="thin">
        <color rgb="FFD0D5DA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5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1" fontId="6" fillId="0" borderId="1" xfId="0" applyNumberFormat="1" applyFont="1" applyBorder="1" applyAlignment="1">
      <alignment horizontal="left" vertical="top"/>
    </xf>
    <xf numFmtId="2" fontId="6" fillId="0" borderId="1" xfId="0" applyNumberFormat="1" applyFont="1" applyBorder="1" applyAlignment="1">
      <alignment vertical="top" wrapText="1"/>
    </xf>
    <xf numFmtId="0" fontId="6" fillId="0" borderId="0" xfId="0" applyFont="1"/>
    <xf numFmtId="0" fontId="5" fillId="0" borderId="0" xfId="0" applyFont="1"/>
    <xf numFmtId="1" fontId="5" fillId="0" borderId="1" xfId="0" applyNumberFormat="1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3" fontId="8" fillId="0" borderId="1" xfId="0" applyNumberFormat="1" applyFont="1" applyBorder="1" applyAlignment="1">
      <alignment vertical="top" wrapText="1"/>
    </xf>
    <xf numFmtId="3" fontId="5" fillId="0" borderId="1" xfId="0" applyNumberFormat="1" applyFont="1" applyBorder="1" applyAlignment="1">
      <alignment vertical="top" wrapText="1"/>
    </xf>
    <xf numFmtId="164" fontId="5" fillId="0" borderId="1" xfId="0" applyNumberFormat="1" applyFont="1" applyBorder="1" applyAlignment="1">
      <alignment vertical="top" wrapText="1"/>
    </xf>
    <xf numFmtId="1" fontId="8" fillId="0" borderId="1" xfId="0" applyNumberFormat="1" applyFont="1" applyBorder="1" applyAlignment="1">
      <alignment vertical="top" wrapText="1"/>
    </xf>
    <xf numFmtId="2" fontId="5" fillId="0" borderId="1" xfId="0" applyNumberFormat="1" applyFont="1" applyBorder="1" applyAlignment="1">
      <alignment vertical="top" wrapText="1"/>
    </xf>
    <xf numFmtId="9" fontId="5" fillId="0" borderId="1" xfId="0" applyNumberFormat="1" applyFont="1" applyBorder="1" applyAlignment="1">
      <alignment vertical="top" wrapText="1"/>
    </xf>
    <xf numFmtId="2" fontId="8" fillId="0" borderId="1" xfId="0" applyNumberFormat="1" applyFont="1" applyBorder="1" applyAlignment="1">
      <alignment vertical="top" wrapText="1"/>
    </xf>
    <xf numFmtId="0" fontId="8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5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5C6A75"/>
      <rgbColor rgb="FF969696"/>
      <rgbColor rgb="FF003366"/>
      <rgbColor rgb="FF339966"/>
      <rgbColor rgb="FF10182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opLeftCell="A10" zoomScaleNormal="100" workbookViewId="0"/>
  </sheetViews>
  <sheetFormatPr defaultColWidth="8.7109375" defaultRowHeight="15" x14ac:dyDescent="0.25"/>
  <cols>
    <col min="1" max="1" width="6" customWidth="1"/>
    <col min="2" max="2" width="34" customWidth="1"/>
    <col min="3" max="3" width="70" customWidth="1"/>
    <col min="4" max="4" width="52" customWidth="1"/>
  </cols>
  <sheetData>
    <row r="1" spans="1:4" ht="19.5" x14ac:dyDescent="0.3">
      <c r="A1" s="2" t="s">
        <v>0</v>
      </c>
    </row>
    <row r="2" spans="1:4" x14ac:dyDescent="0.25">
      <c r="A2" s="3" t="s">
        <v>1</v>
      </c>
    </row>
    <row r="4" spans="1:4" ht="15.75" x14ac:dyDescent="0.25">
      <c r="A4" s="4" t="s">
        <v>2</v>
      </c>
    </row>
    <row r="5" spans="1:4" x14ac:dyDescent="0.25">
      <c r="A5" s="5"/>
      <c r="B5" s="5" t="s">
        <v>3</v>
      </c>
      <c r="C5" s="5" t="s">
        <v>4</v>
      </c>
      <c r="D5" s="5" t="s">
        <v>5</v>
      </c>
    </row>
    <row r="6" spans="1:4" ht="27.75" customHeight="1" x14ac:dyDescent="0.25">
      <c r="A6" s="6"/>
      <c r="B6" s="7" t="s">
        <v>6</v>
      </c>
      <c r="C6" s="8">
        <f>COUNTA(Categories!$D$2:$D$49)/4</f>
        <v>12</v>
      </c>
      <c r="D6" s="6" t="s">
        <v>7</v>
      </c>
    </row>
    <row r="7" spans="1:4" ht="15" customHeight="1" x14ac:dyDescent="0.25">
      <c r="A7" s="6"/>
      <c r="B7" s="7" t="s">
        <v>8</v>
      </c>
      <c r="C7" s="8">
        <f>COUNTA(Categories!$E$2:$E$49)</f>
        <v>48</v>
      </c>
      <c r="D7" s="6" t="s">
        <v>9</v>
      </c>
    </row>
    <row r="8" spans="1:4" ht="27.75" customHeight="1" x14ac:dyDescent="0.25">
      <c r="A8" s="6"/>
      <c r="B8" s="7" t="s">
        <v>10</v>
      </c>
      <c r="C8" s="8">
        <f>COUNTA('Products and Samples'!$D$2:$D$128)</f>
        <v>127</v>
      </c>
      <c r="D8" s="6" t="s">
        <v>11</v>
      </c>
    </row>
    <row r="9" spans="1:4" ht="27.75" customHeight="1" x14ac:dyDescent="0.25">
      <c r="A9" s="6"/>
      <c r="B9" s="7" t="s">
        <v>12</v>
      </c>
      <c r="C9" s="9">
        <f>'Domain Risk Calc'!D18</f>
        <v>42.83</v>
      </c>
      <c r="D9" s="6" t="s">
        <v>13</v>
      </c>
    </row>
    <row r="11" spans="1:4" ht="15.75" x14ac:dyDescent="0.25">
      <c r="A11" s="4" t="s">
        <v>14</v>
      </c>
    </row>
    <row r="12" spans="1:4" x14ac:dyDescent="0.25">
      <c r="A12" s="5" t="s">
        <v>15</v>
      </c>
      <c r="B12" s="5" t="s">
        <v>16</v>
      </c>
      <c r="C12" s="5" t="s">
        <v>17</v>
      </c>
      <c r="D12" s="5" t="s">
        <v>18</v>
      </c>
    </row>
    <row r="13" spans="1:4" ht="27.75" customHeight="1" x14ac:dyDescent="0.25">
      <c r="A13" s="7">
        <v>1</v>
      </c>
      <c r="B13" s="7" t="s">
        <v>19</v>
      </c>
      <c r="C13" s="6" t="s">
        <v>20</v>
      </c>
      <c r="D13" s="6" t="s">
        <v>21</v>
      </c>
    </row>
    <row r="14" spans="1:4" ht="27.75" customHeight="1" x14ac:dyDescent="0.25">
      <c r="A14" s="7">
        <v>2</v>
      </c>
      <c r="B14" s="7" t="s">
        <v>22</v>
      </c>
      <c r="C14" s="6" t="s">
        <v>23</v>
      </c>
      <c r="D14" s="6" t="s">
        <v>24</v>
      </c>
    </row>
    <row r="15" spans="1:4" ht="27.75" customHeight="1" x14ac:dyDescent="0.25">
      <c r="A15" s="7">
        <v>3</v>
      </c>
      <c r="B15" s="7" t="s">
        <v>25</v>
      </c>
      <c r="C15" s="6" t="s">
        <v>26</v>
      </c>
      <c r="D15" s="6" t="s">
        <v>27</v>
      </c>
    </row>
    <row r="16" spans="1:4" ht="27.75" customHeight="1" x14ac:dyDescent="0.25">
      <c r="A16" s="7">
        <v>4</v>
      </c>
      <c r="B16" s="7" t="s">
        <v>28</v>
      </c>
      <c r="C16" s="6" t="s">
        <v>29</v>
      </c>
      <c r="D16" s="6" t="s">
        <v>30</v>
      </c>
    </row>
    <row r="17" spans="1:4" ht="40.5" customHeight="1" x14ac:dyDescent="0.25">
      <c r="A17" s="7">
        <v>5</v>
      </c>
      <c r="B17" s="7" t="s">
        <v>31</v>
      </c>
      <c r="C17" s="6" t="s">
        <v>32</v>
      </c>
      <c r="D17" s="6" t="s">
        <v>33</v>
      </c>
    </row>
    <row r="18" spans="1:4" ht="27.75" customHeight="1" x14ac:dyDescent="0.25">
      <c r="A18" s="7">
        <v>6</v>
      </c>
      <c r="B18" s="7" t="s">
        <v>34</v>
      </c>
      <c r="C18" s="6" t="s">
        <v>35</v>
      </c>
      <c r="D18" s="6" t="s">
        <v>36</v>
      </c>
    </row>
    <row r="19" spans="1:4" ht="27.75" customHeight="1" x14ac:dyDescent="0.25">
      <c r="A19" s="7">
        <v>7</v>
      </c>
      <c r="B19" s="7" t="s">
        <v>37</v>
      </c>
      <c r="C19" s="6" t="s">
        <v>38</v>
      </c>
      <c r="D19" s="6" t="s">
        <v>39</v>
      </c>
    </row>
    <row r="21" spans="1:4" ht="15.75" x14ac:dyDescent="0.25">
      <c r="A21" s="4" t="s">
        <v>40</v>
      </c>
    </row>
    <row r="22" spans="1:4" ht="18" customHeight="1" x14ac:dyDescent="0.25">
      <c r="B22" s="1" t="s">
        <v>41</v>
      </c>
      <c r="C22" s="1"/>
      <c r="D22" s="1"/>
    </row>
    <row r="23" spans="1:4" ht="18" customHeight="1" x14ac:dyDescent="0.25">
      <c r="B23" s="1" t="s">
        <v>42</v>
      </c>
      <c r="C23" s="1"/>
      <c r="D23" s="1"/>
    </row>
    <row r="24" spans="1:4" ht="18" customHeight="1" x14ac:dyDescent="0.25">
      <c r="B24" s="1" t="s">
        <v>43</v>
      </c>
      <c r="C24" s="1"/>
      <c r="D24" s="1"/>
    </row>
    <row r="25" spans="1:4" ht="18" customHeight="1" x14ac:dyDescent="0.25">
      <c r="B25" s="1" t="s">
        <v>44</v>
      </c>
      <c r="C25" s="1"/>
      <c r="D25" s="1"/>
    </row>
    <row r="26" spans="1:4" ht="18" customHeight="1" x14ac:dyDescent="0.25">
      <c r="B26" s="1" t="s">
        <v>45</v>
      </c>
      <c r="C26" s="1"/>
      <c r="D26" s="1"/>
    </row>
    <row r="28" spans="1:4" ht="15.75" x14ac:dyDescent="0.25">
      <c r="A28" s="4" t="s">
        <v>46</v>
      </c>
    </row>
    <row r="29" spans="1:4" ht="30" customHeight="1" x14ac:dyDescent="0.25">
      <c r="B29" s="1" t="s">
        <v>47</v>
      </c>
      <c r="C29" s="1"/>
      <c r="D29" s="1"/>
    </row>
    <row r="30" spans="1:4" ht="30" customHeight="1" x14ac:dyDescent="0.25">
      <c r="B30" s="1" t="s">
        <v>48</v>
      </c>
      <c r="C30" s="1"/>
      <c r="D30" s="1"/>
    </row>
    <row r="31" spans="1:4" ht="30" customHeight="1" x14ac:dyDescent="0.25">
      <c r="B31" s="1" t="s">
        <v>49</v>
      </c>
      <c r="C31" s="1"/>
      <c r="D31" s="1"/>
    </row>
    <row r="32" spans="1:4" ht="30" customHeight="1" x14ac:dyDescent="0.25">
      <c r="B32" s="1" t="s">
        <v>50</v>
      </c>
      <c r="C32" s="1"/>
      <c r="D32" s="1"/>
    </row>
    <row r="33" spans="1:4" ht="30" customHeight="1" x14ac:dyDescent="0.25">
      <c r="B33" s="1" t="s">
        <v>51</v>
      </c>
      <c r="C33" s="1"/>
      <c r="D33" s="1"/>
    </row>
    <row r="34" spans="1:4" ht="30" customHeight="1" x14ac:dyDescent="0.25">
      <c r="B34" s="1" t="s">
        <v>52</v>
      </c>
      <c r="C34" s="1"/>
      <c r="D34" s="1"/>
    </row>
    <row r="36" spans="1:4" ht="15.75" x14ac:dyDescent="0.25">
      <c r="A36" s="4" t="s">
        <v>53</v>
      </c>
    </row>
    <row r="37" spans="1:4" x14ac:dyDescent="0.25">
      <c r="B37" s="10" t="s">
        <v>54</v>
      </c>
      <c r="C37" s="11" t="s">
        <v>55</v>
      </c>
    </row>
    <row r="38" spans="1:4" x14ac:dyDescent="0.25">
      <c r="B38" s="10" t="s">
        <v>56</v>
      </c>
      <c r="C38" s="11" t="s">
        <v>57</v>
      </c>
    </row>
    <row r="39" spans="1:4" x14ac:dyDescent="0.25">
      <c r="B39" s="10" t="s">
        <v>58</v>
      </c>
      <c r="C39" s="11" t="s">
        <v>59</v>
      </c>
    </row>
    <row r="40" spans="1:4" x14ac:dyDescent="0.25">
      <c r="B40" s="10" t="s">
        <v>33</v>
      </c>
      <c r="C40" s="11" t="s">
        <v>60</v>
      </c>
    </row>
    <row r="41" spans="1:4" x14ac:dyDescent="0.25">
      <c r="B41" s="10" t="s">
        <v>36</v>
      </c>
      <c r="C41" s="11" t="s">
        <v>61</v>
      </c>
    </row>
  </sheetData>
  <mergeCells count="11">
    <mergeCell ref="B34:D34"/>
    <mergeCell ref="B29:D29"/>
    <mergeCell ref="B30:D30"/>
    <mergeCell ref="B31:D31"/>
    <mergeCell ref="B32:D32"/>
    <mergeCell ref="B33:D33"/>
    <mergeCell ref="B22:D22"/>
    <mergeCell ref="B23:D23"/>
    <mergeCell ref="B24:D24"/>
    <mergeCell ref="B25:D25"/>
    <mergeCell ref="B26:D2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8"/>
  <sheetViews>
    <sheetView topLeftCell="A17" zoomScaleNormal="100" workbookViewId="0"/>
  </sheetViews>
  <sheetFormatPr defaultColWidth="8.7109375" defaultRowHeight="15" x14ac:dyDescent="0.25"/>
  <cols>
    <col min="1" max="1" width="28" customWidth="1"/>
    <col min="2" max="2" width="52" customWidth="1"/>
    <col min="3" max="3" width="64" customWidth="1"/>
    <col min="4" max="4" width="46" customWidth="1"/>
    <col min="5" max="5" width="26" customWidth="1"/>
  </cols>
  <sheetData>
    <row r="1" spans="1:5" ht="19.5" x14ac:dyDescent="0.3">
      <c r="A1" s="2" t="s">
        <v>62</v>
      </c>
    </row>
    <row r="3" spans="1:5" ht="15.75" x14ac:dyDescent="0.25">
      <c r="A3" s="4" t="s">
        <v>63</v>
      </c>
    </row>
    <row r="4" spans="1:5" ht="15" customHeight="1" x14ac:dyDescent="0.25">
      <c r="A4" s="5" t="s">
        <v>64</v>
      </c>
      <c r="B4" s="5" t="s">
        <v>65</v>
      </c>
      <c r="C4" s="5" t="s">
        <v>66</v>
      </c>
      <c r="D4" s="5" t="s">
        <v>67</v>
      </c>
      <c r="E4" s="5" t="s">
        <v>68</v>
      </c>
    </row>
    <row r="5" spans="1:5" ht="52.5" customHeight="1" x14ac:dyDescent="0.25">
      <c r="A5" s="6" t="s">
        <v>69</v>
      </c>
      <c r="B5" s="6" t="s">
        <v>70</v>
      </c>
      <c r="C5" s="6" t="s">
        <v>71</v>
      </c>
      <c r="D5" s="6" t="s">
        <v>72</v>
      </c>
      <c r="E5" s="12">
        <f>COUNTIF(Categories!$J$2:$J$49,A5)</f>
        <v>39</v>
      </c>
    </row>
    <row r="6" spans="1:5" ht="27.75" customHeight="1" x14ac:dyDescent="0.25">
      <c r="A6" s="6" t="s">
        <v>73</v>
      </c>
      <c r="B6" s="6" t="s">
        <v>74</v>
      </c>
      <c r="C6" s="6" t="s">
        <v>75</v>
      </c>
      <c r="D6" s="6" t="s">
        <v>76</v>
      </c>
      <c r="E6" s="12">
        <f>COUNTIF(Categories!$J$2:$J$49,A6)</f>
        <v>1</v>
      </c>
    </row>
    <row r="7" spans="1:5" ht="27.75" customHeight="1" x14ac:dyDescent="0.25">
      <c r="A7" s="6" t="s">
        <v>77</v>
      </c>
      <c r="B7" s="6" t="s">
        <v>78</v>
      </c>
      <c r="C7" s="6" t="s">
        <v>79</v>
      </c>
      <c r="D7" s="6" t="s">
        <v>80</v>
      </c>
      <c r="E7" s="12">
        <f>COUNTIF(Categories!$J$2:$J$49,A7)</f>
        <v>1</v>
      </c>
    </row>
    <row r="8" spans="1:5" ht="27.75" customHeight="1" x14ac:dyDescent="0.25">
      <c r="A8" s="6" t="s">
        <v>81</v>
      </c>
      <c r="B8" s="6" t="s">
        <v>82</v>
      </c>
      <c r="C8" s="6" t="s">
        <v>83</v>
      </c>
      <c r="D8" s="6" t="s">
        <v>84</v>
      </c>
      <c r="E8" s="12">
        <f>COUNTIF(Categories!$J$2:$J$49,A8)</f>
        <v>2</v>
      </c>
    </row>
    <row r="9" spans="1:5" ht="27.75" customHeight="1" x14ac:dyDescent="0.25">
      <c r="A9" s="6" t="s">
        <v>85</v>
      </c>
      <c r="B9" s="6" t="s">
        <v>86</v>
      </c>
      <c r="C9" s="6" t="s">
        <v>87</v>
      </c>
      <c r="D9" s="6" t="s">
        <v>88</v>
      </c>
      <c r="E9" s="12">
        <f>COUNTIF(Categories!$J$2:$J$49,A9)</f>
        <v>5</v>
      </c>
    </row>
    <row r="10" spans="1:5" ht="15" customHeight="1" x14ac:dyDescent="0.25"/>
    <row r="11" spans="1:5" ht="27.75" customHeight="1" x14ac:dyDescent="0.25">
      <c r="A11" s="4" t="s">
        <v>89</v>
      </c>
    </row>
    <row r="12" spans="1:5" ht="15" customHeight="1" x14ac:dyDescent="0.25">
      <c r="A12" s="5" t="s">
        <v>15</v>
      </c>
      <c r="B12" s="5" t="s">
        <v>90</v>
      </c>
      <c r="C12" s="5" t="s">
        <v>91</v>
      </c>
      <c r="D12" s="5" t="s">
        <v>92</v>
      </c>
      <c r="E12" s="5" t="s">
        <v>93</v>
      </c>
    </row>
    <row r="13" spans="1:5" ht="27.75" customHeight="1" x14ac:dyDescent="0.25">
      <c r="A13" s="6" t="s">
        <v>94</v>
      </c>
      <c r="B13" s="6" t="s">
        <v>95</v>
      </c>
      <c r="C13" s="6" t="s">
        <v>96</v>
      </c>
      <c r="D13" s="6" t="s">
        <v>97</v>
      </c>
      <c r="E13" s="6" t="s">
        <v>98</v>
      </c>
    </row>
    <row r="14" spans="1:5" ht="15" customHeight="1" x14ac:dyDescent="0.25">
      <c r="A14" s="6" t="s">
        <v>99</v>
      </c>
      <c r="B14" s="6" t="s">
        <v>100</v>
      </c>
      <c r="C14" s="6" t="s">
        <v>101</v>
      </c>
      <c r="D14" s="6" t="s">
        <v>102</v>
      </c>
      <c r="E14" s="6" t="s">
        <v>103</v>
      </c>
    </row>
    <row r="15" spans="1:5" ht="27.75" customHeight="1" x14ac:dyDescent="0.25">
      <c r="A15" s="6" t="s">
        <v>104</v>
      </c>
      <c r="B15" s="6" t="s">
        <v>105</v>
      </c>
      <c r="C15" s="6" t="s">
        <v>106</v>
      </c>
      <c r="D15" s="6" t="s">
        <v>107</v>
      </c>
      <c r="E15" s="6" t="s">
        <v>108</v>
      </c>
    </row>
    <row r="16" spans="1:5" ht="27.75" customHeight="1" x14ac:dyDescent="0.25">
      <c r="A16" s="6" t="s">
        <v>109</v>
      </c>
      <c r="B16" s="6" t="s">
        <v>110</v>
      </c>
      <c r="C16" s="6" t="s">
        <v>111</v>
      </c>
      <c r="D16" s="6" t="s">
        <v>112</v>
      </c>
      <c r="E16" s="6" t="s">
        <v>113</v>
      </c>
    </row>
    <row r="17" spans="1:5" ht="27.75" customHeight="1" x14ac:dyDescent="0.25">
      <c r="A17" s="6" t="s">
        <v>114</v>
      </c>
      <c r="B17" s="6" t="s">
        <v>115</v>
      </c>
      <c r="C17" s="6" t="s">
        <v>116</v>
      </c>
      <c r="D17" s="6" t="s">
        <v>117</v>
      </c>
      <c r="E17" s="6" t="s">
        <v>118</v>
      </c>
    </row>
    <row r="18" spans="1:5" ht="27.75" customHeight="1" x14ac:dyDescent="0.25">
      <c r="A18" s="6" t="s">
        <v>119</v>
      </c>
      <c r="B18" s="6" t="s">
        <v>120</v>
      </c>
      <c r="C18" s="6" t="s">
        <v>121</v>
      </c>
      <c r="D18" s="6" t="s">
        <v>122</v>
      </c>
      <c r="E18" s="6" t="s">
        <v>123</v>
      </c>
    </row>
    <row r="19" spans="1:5" ht="27.75" customHeight="1" x14ac:dyDescent="0.25">
      <c r="A19" s="6" t="s">
        <v>124</v>
      </c>
      <c r="B19" s="6" t="s">
        <v>125</v>
      </c>
      <c r="C19" s="6" t="s">
        <v>126</v>
      </c>
      <c r="D19" s="6" t="s">
        <v>127</v>
      </c>
      <c r="E19" s="6" t="s">
        <v>128</v>
      </c>
    </row>
    <row r="20" spans="1:5" ht="27.75" customHeight="1" x14ac:dyDescent="0.25">
      <c r="A20" s="6" t="s">
        <v>129</v>
      </c>
      <c r="B20" s="6" t="s">
        <v>130</v>
      </c>
      <c r="C20" s="6" t="s">
        <v>131</v>
      </c>
      <c r="D20" s="6" t="s">
        <v>132</v>
      </c>
      <c r="E20" s="6" t="s">
        <v>133</v>
      </c>
    </row>
    <row r="21" spans="1:5" ht="15" customHeight="1" x14ac:dyDescent="0.25"/>
    <row r="22" spans="1:5" ht="15" customHeight="1" x14ac:dyDescent="0.25">
      <c r="A22" s="4" t="s">
        <v>134</v>
      </c>
    </row>
    <row r="23" spans="1:5" ht="15" customHeight="1" x14ac:dyDescent="0.25">
      <c r="A23" s="5" t="s">
        <v>135</v>
      </c>
      <c r="B23" s="5" t="s">
        <v>136</v>
      </c>
      <c r="C23" s="5" t="s">
        <v>137</v>
      </c>
      <c r="D23" s="5" t="s">
        <v>138</v>
      </c>
      <c r="E23" s="5" t="s">
        <v>139</v>
      </c>
    </row>
    <row r="24" spans="1:5" ht="40.5" customHeight="1" x14ac:dyDescent="0.25">
      <c r="A24" s="6" t="s">
        <v>140</v>
      </c>
      <c r="B24" s="6" t="s">
        <v>141</v>
      </c>
      <c r="C24" s="6" t="s">
        <v>142</v>
      </c>
      <c r="D24" s="6" t="s">
        <v>143</v>
      </c>
      <c r="E24" s="6" t="s">
        <v>144</v>
      </c>
    </row>
    <row r="25" spans="1:5" ht="27.75" customHeight="1" x14ac:dyDescent="0.25">
      <c r="A25" s="6" t="s">
        <v>145</v>
      </c>
      <c r="B25" s="6" t="s">
        <v>146</v>
      </c>
      <c r="C25" s="6" t="s">
        <v>147</v>
      </c>
      <c r="D25" s="6" t="s">
        <v>148</v>
      </c>
      <c r="E25" s="6" t="s">
        <v>149</v>
      </c>
    </row>
    <row r="26" spans="1:5" ht="40.5" customHeight="1" x14ac:dyDescent="0.25">
      <c r="A26" s="6" t="s">
        <v>150</v>
      </c>
      <c r="B26" s="6" t="s">
        <v>151</v>
      </c>
      <c r="C26" s="6" t="s">
        <v>152</v>
      </c>
      <c r="D26" s="6" t="s">
        <v>148</v>
      </c>
      <c r="E26" s="6" t="s">
        <v>153</v>
      </c>
    </row>
    <row r="27" spans="1:5" ht="27.75" customHeight="1" x14ac:dyDescent="0.25">
      <c r="A27" s="6" t="s">
        <v>154</v>
      </c>
      <c r="B27" s="6" t="s">
        <v>155</v>
      </c>
      <c r="C27" s="6" t="s">
        <v>156</v>
      </c>
      <c r="D27" s="6" t="s">
        <v>157</v>
      </c>
      <c r="E27" s="6" t="s">
        <v>158</v>
      </c>
    </row>
    <row r="28" spans="1:5" ht="27.75" customHeight="1" x14ac:dyDescent="0.25">
      <c r="A28" s="6" t="s">
        <v>159</v>
      </c>
      <c r="B28" s="6" t="s">
        <v>160</v>
      </c>
      <c r="C28" s="6" t="s">
        <v>161</v>
      </c>
      <c r="D28" s="6" t="s">
        <v>157</v>
      </c>
      <c r="E28" s="6" t="s">
        <v>162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9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M2" sqref="M2"/>
    </sheetView>
  </sheetViews>
  <sheetFormatPr defaultColWidth="8.7109375" defaultRowHeight="15" x14ac:dyDescent="0.25"/>
  <cols>
    <col min="1" max="1" width="10" customWidth="1"/>
    <col min="2" max="2" width="5" customWidth="1"/>
    <col min="3" max="3" width="30" customWidth="1"/>
    <col min="4" max="4" width="22" customWidth="1"/>
    <col min="5" max="5" width="30" customWidth="1"/>
    <col min="6" max="6" width="36" customWidth="1"/>
    <col min="7" max="7" width="44" customWidth="1"/>
    <col min="8" max="9" width="38" customWidth="1"/>
    <col min="10" max="10" width="26" customWidth="1"/>
    <col min="11" max="11" width="14" customWidth="1"/>
    <col min="12" max="12" width="52" customWidth="1"/>
    <col min="13" max="13" width="40" customWidth="1"/>
    <col min="14" max="14" width="20" customWidth="1"/>
  </cols>
  <sheetData>
    <row r="1" spans="1:14" ht="25.5" x14ac:dyDescent="0.25">
      <c r="A1" s="5" t="s">
        <v>163</v>
      </c>
      <c r="B1" s="5" t="s">
        <v>164</v>
      </c>
      <c r="C1" s="5" t="s">
        <v>165</v>
      </c>
      <c r="D1" s="5" t="s">
        <v>166</v>
      </c>
      <c r="E1" s="5" t="s">
        <v>167</v>
      </c>
      <c r="F1" s="5" t="s">
        <v>168</v>
      </c>
      <c r="G1" s="5" t="s">
        <v>169</v>
      </c>
      <c r="H1" s="5" t="s">
        <v>170</v>
      </c>
      <c r="I1" s="5" t="s">
        <v>171</v>
      </c>
      <c r="J1" s="5" t="s">
        <v>172</v>
      </c>
      <c r="K1" s="5" t="s">
        <v>173</v>
      </c>
      <c r="L1" s="5" t="s">
        <v>174</v>
      </c>
      <c r="M1" s="5" t="s">
        <v>175</v>
      </c>
      <c r="N1" s="5" t="s">
        <v>176</v>
      </c>
    </row>
    <row r="2" spans="1:14" ht="27.75" customHeight="1" x14ac:dyDescent="0.25">
      <c r="A2" s="6" t="s">
        <v>177</v>
      </c>
      <c r="B2" s="6">
        <v>1</v>
      </c>
      <c r="C2" s="6" t="s">
        <v>178</v>
      </c>
      <c r="D2" s="6" t="s">
        <v>179</v>
      </c>
      <c r="E2" s="6" t="s">
        <v>180</v>
      </c>
      <c r="F2" s="6" t="s">
        <v>181</v>
      </c>
      <c r="G2" s="6" t="s">
        <v>182</v>
      </c>
      <c r="H2" s="6" t="s">
        <v>183</v>
      </c>
      <c r="I2" s="6" t="s">
        <v>184</v>
      </c>
      <c r="J2" s="6" t="s">
        <v>69</v>
      </c>
      <c r="K2" s="6" t="s">
        <v>185</v>
      </c>
      <c r="L2" s="6" t="s">
        <v>186</v>
      </c>
      <c r="M2" s="6" t="s">
        <v>187</v>
      </c>
      <c r="N2" s="6" t="s">
        <v>188</v>
      </c>
    </row>
    <row r="3" spans="1:14" ht="27.75" customHeight="1" x14ac:dyDescent="0.25">
      <c r="A3" s="6" t="s">
        <v>189</v>
      </c>
      <c r="B3" s="6">
        <v>1</v>
      </c>
      <c r="C3" s="6" t="s">
        <v>178</v>
      </c>
      <c r="D3" s="6" t="s">
        <v>179</v>
      </c>
      <c r="E3" s="6" t="s">
        <v>190</v>
      </c>
      <c r="F3" s="6" t="s">
        <v>191</v>
      </c>
      <c r="G3" s="6" t="s">
        <v>192</v>
      </c>
      <c r="H3" s="6" t="s">
        <v>193</v>
      </c>
      <c r="I3" s="6" t="s">
        <v>194</v>
      </c>
      <c r="J3" s="6" t="s">
        <v>73</v>
      </c>
      <c r="K3" s="6" t="s">
        <v>195</v>
      </c>
      <c r="L3" s="6" t="s">
        <v>196</v>
      </c>
      <c r="M3" s="6" t="s">
        <v>197</v>
      </c>
      <c r="N3" s="6" t="s">
        <v>188</v>
      </c>
    </row>
    <row r="4" spans="1:14" ht="27.75" customHeight="1" x14ac:dyDescent="0.25">
      <c r="A4" s="6" t="s">
        <v>198</v>
      </c>
      <c r="B4" s="6">
        <v>1</v>
      </c>
      <c r="C4" s="6" t="s">
        <v>178</v>
      </c>
      <c r="D4" s="6" t="s">
        <v>179</v>
      </c>
      <c r="E4" s="6" t="s">
        <v>199</v>
      </c>
      <c r="F4" s="6" t="s">
        <v>200</v>
      </c>
      <c r="G4" s="6" t="s">
        <v>201</v>
      </c>
      <c r="H4" s="6" t="s">
        <v>202</v>
      </c>
      <c r="I4" s="6" t="s">
        <v>203</v>
      </c>
      <c r="J4" s="6" t="s">
        <v>69</v>
      </c>
      <c r="K4" s="6" t="s">
        <v>185</v>
      </c>
      <c r="L4" s="6" t="s">
        <v>204</v>
      </c>
      <c r="M4" s="6" t="s">
        <v>205</v>
      </c>
      <c r="N4" s="6" t="s">
        <v>188</v>
      </c>
    </row>
    <row r="5" spans="1:14" ht="27.75" customHeight="1" x14ac:dyDescent="0.25">
      <c r="A5" s="6" t="s">
        <v>206</v>
      </c>
      <c r="B5" s="6">
        <v>1</v>
      </c>
      <c r="C5" s="6" t="s">
        <v>178</v>
      </c>
      <c r="D5" s="6" t="s">
        <v>179</v>
      </c>
      <c r="E5" s="6" t="s">
        <v>207</v>
      </c>
      <c r="F5" s="6" t="s">
        <v>208</v>
      </c>
      <c r="G5" s="6" t="s">
        <v>209</v>
      </c>
      <c r="H5" s="6" t="s">
        <v>210</v>
      </c>
      <c r="I5" s="6" t="s">
        <v>211</v>
      </c>
      <c r="J5" s="6" t="s">
        <v>69</v>
      </c>
      <c r="K5" s="6" t="s">
        <v>212</v>
      </c>
      <c r="L5" s="6" t="s">
        <v>213</v>
      </c>
      <c r="M5" s="6" t="s">
        <v>214</v>
      </c>
      <c r="N5" s="6" t="s">
        <v>188</v>
      </c>
    </row>
    <row r="6" spans="1:14" ht="27.75" customHeight="1" x14ac:dyDescent="0.25">
      <c r="A6" s="6" t="s">
        <v>215</v>
      </c>
      <c r="B6" s="6">
        <v>2</v>
      </c>
      <c r="C6" s="6" t="s">
        <v>216</v>
      </c>
      <c r="D6" s="6" t="s">
        <v>217</v>
      </c>
      <c r="E6" s="6" t="s">
        <v>218</v>
      </c>
      <c r="F6" s="6" t="s">
        <v>219</v>
      </c>
      <c r="G6" s="6" t="s">
        <v>220</v>
      </c>
      <c r="H6" s="6" t="s">
        <v>221</v>
      </c>
      <c r="I6" s="6" t="s">
        <v>222</v>
      </c>
      <c r="J6" s="6" t="s">
        <v>69</v>
      </c>
      <c r="K6" s="6" t="s">
        <v>223</v>
      </c>
      <c r="L6" s="6" t="s">
        <v>224</v>
      </c>
      <c r="M6" s="6" t="s">
        <v>225</v>
      </c>
      <c r="N6" s="6" t="s">
        <v>188</v>
      </c>
    </row>
    <row r="7" spans="1:14" ht="27.75" customHeight="1" x14ac:dyDescent="0.25">
      <c r="A7" s="6" t="s">
        <v>226</v>
      </c>
      <c r="B7" s="6">
        <v>2</v>
      </c>
      <c r="C7" s="6" t="s">
        <v>216</v>
      </c>
      <c r="D7" s="6" t="s">
        <v>217</v>
      </c>
      <c r="E7" s="6" t="s">
        <v>227</v>
      </c>
      <c r="F7" s="6" t="s">
        <v>228</v>
      </c>
      <c r="G7" s="6" t="s">
        <v>229</v>
      </c>
      <c r="H7" s="6" t="s">
        <v>230</v>
      </c>
      <c r="I7" s="6" t="s">
        <v>231</v>
      </c>
      <c r="J7" s="6" t="s">
        <v>81</v>
      </c>
      <c r="K7" s="6" t="s">
        <v>185</v>
      </c>
      <c r="L7" s="6" t="s">
        <v>232</v>
      </c>
      <c r="M7" s="6" t="s">
        <v>233</v>
      </c>
      <c r="N7" s="6" t="s">
        <v>188</v>
      </c>
    </row>
    <row r="8" spans="1:14" ht="27.75" customHeight="1" x14ac:dyDescent="0.25">
      <c r="A8" s="6" t="s">
        <v>234</v>
      </c>
      <c r="B8" s="6">
        <v>2</v>
      </c>
      <c r="C8" s="6" t="s">
        <v>216</v>
      </c>
      <c r="D8" s="6" t="s">
        <v>217</v>
      </c>
      <c r="E8" s="6" t="s">
        <v>235</v>
      </c>
      <c r="F8" s="6" t="s">
        <v>236</v>
      </c>
      <c r="G8" s="6" t="s">
        <v>237</v>
      </c>
      <c r="H8" s="6" t="s">
        <v>238</v>
      </c>
      <c r="I8" s="6" t="s">
        <v>239</v>
      </c>
      <c r="J8" s="6" t="s">
        <v>69</v>
      </c>
      <c r="K8" s="6" t="s">
        <v>223</v>
      </c>
      <c r="L8" s="6" t="s">
        <v>240</v>
      </c>
      <c r="M8" s="6" t="s">
        <v>241</v>
      </c>
      <c r="N8" s="6" t="s">
        <v>188</v>
      </c>
    </row>
    <row r="9" spans="1:14" ht="27.75" customHeight="1" x14ac:dyDescent="0.25">
      <c r="A9" s="6" t="s">
        <v>242</v>
      </c>
      <c r="B9" s="6">
        <v>2</v>
      </c>
      <c r="C9" s="6" t="s">
        <v>216</v>
      </c>
      <c r="D9" s="6" t="s">
        <v>217</v>
      </c>
      <c r="E9" s="6" t="s">
        <v>243</v>
      </c>
      <c r="F9" s="6" t="s">
        <v>244</v>
      </c>
      <c r="G9" s="6" t="s">
        <v>245</v>
      </c>
      <c r="H9" s="6" t="s">
        <v>246</v>
      </c>
      <c r="I9" s="6" t="s">
        <v>247</v>
      </c>
      <c r="J9" s="6" t="s">
        <v>69</v>
      </c>
      <c r="K9" s="6" t="s">
        <v>248</v>
      </c>
      <c r="L9" s="6" t="s">
        <v>249</v>
      </c>
      <c r="M9" s="6" t="s">
        <v>250</v>
      </c>
      <c r="N9" s="6" t="s">
        <v>188</v>
      </c>
    </row>
    <row r="10" spans="1:14" ht="27.75" customHeight="1" x14ac:dyDescent="0.25">
      <c r="A10" s="6" t="s">
        <v>251</v>
      </c>
      <c r="B10" s="6">
        <v>3</v>
      </c>
      <c r="C10" s="6" t="s">
        <v>252</v>
      </c>
      <c r="D10" s="6" t="s">
        <v>253</v>
      </c>
      <c r="E10" s="6" t="s">
        <v>254</v>
      </c>
      <c r="F10" s="6" t="s">
        <v>255</v>
      </c>
      <c r="G10" s="6" t="s">
        <v>256</v>
      </c>
      <c r="H10" s="6" t="s">
        <v>257</v>
      </c>
      <c r="I10" s="6" t="s">
        <v>258</v>
      </c>
      <c r="J10" s="6" t="s">
        <v>69</v>
      </c>
      <c r="K10" s="6" t="s">
        <v>185</v>
      </c>
      <c r="L10" s="6" t="s">
        <v>259</v>
      </c>
      <c r="M10" s="6" t="s">
        <v>260</v>
      </c>
      <c r="N10" s="6" t="s">
        <v>261</v>
      </c>
    </row>
    <row r="11" spans="1:14" ht="27.75" customHeight="1" x14ac:dyDescent="0.25">
      <c r="A11" s="6" t="s">
        <v>262</v>
      </c>
      <c r="B11" s="6">
        <v>3</v>
      </c>
      <c r="C11" s="6" t="s">
        <v>252</v>
      </c>
      <c r="D11" s="6" t="s">
        <v>253</v>
      </c>
      <c r="E11" s="6" t="s">
        <v>263</v>
      </c>
      <c r="F11" s="6" t="s">
        <v>264</v>
      </c>
      <c r="G11" s="6" t="s">
        <v>265</v>
      </c>
      <c r="H11" s="6" t="s">
        <v>266</v>
      </c>
      <c r="I11" s="6" t="s">
        <v>267</v>
      </c>
      <c r="J11" s="6" t="s">
        <v>69</v>
      </c>
      <c r="K11" s="6" t="s">
        <v>185</v>
      </c>
      <c r="L11" s="6" t="s">
        <v>268</v>
      </c>
      <c r="M11" s="6" t="s">
        <v>269</v>
      </c>
      <c r="N11" s="6" t="s">
        <v>261</v>
      </c>
    </row>
    <row r="12" spans="1:14" ht="27.75" customHeight="1" x14ac:dyDescent="0.25">
      <c r="A12" s="6" t="s">
        <v>270</v>
      </c>
      <c r="B12" s="6">
        <v>3</v>
      </c>
      <c r="C12" s="6" t="s">
        <v>252</v>
      </c>
      <c r="D12" s="6" t="s">
        <v>253</v>
      </c>
      <c r="E12" s="6" t="s">
        <v>271</v>
      </c>
      <c r="F12" s="6" t="s">
        <v>272</v>
      </c>
      <c r="G12" s="6" t="s">
        <v>273</v>
      </c>
      <c r="H12" s="6" t="s">
        <v>274</v>
      </c>
      <c r="I12" s="6" t="s">
        <v>275</v>
      </c>
      <c r="J12" s="6" t="s">
        <v>69</v>
      </c>
      <c r="K12" s="6" t="s">
        <v>212</v>
      </c>
      <c r="L12" s="6" t="s">
        <v>276</v>
      </c>
      <c r="M12" s="6" t="s">
        <v>277</v>
      </c>
      <c r="N12" s="6" t="s">
        <v>261</v>
      </c>
    </row>
    <row r="13" spans="1:14" ht="27.75" customHeight="1" x14ac:dyDescent="0.25">
      <c r="A13" s="6" t="s">
        <v>278</v>
      </c>
      <c r="B13" s="6">
        <v>3</v>
      </c>
      <c r="C13" s="6" t="s">
        <v>252</v>
      </c>
      <c r="D13" s="6" t="s">
        <v>253</v>
      </c>
      <c r="E13" s="6" t="s">
        <v>279</v>
      </c>
      <c r="F13" s="6" t="s">
        <v>280</v>
      </c>
      <c r="G13" s="6" t="s">
        <v>281</v>
      </c>
      <c r="H13" s="6" t="s">
        <v>282</v>
      </c>
      <c r="I13" s="6" t="s">
        <v>283</v>
      </c>
      <c r="J13" s="6" t="s">
        <v>85</v>
      </c>
      <c r="K13" s="6" t="s">
        <v>185</v>
      </c>
      <c r="L13" s="6" t="s">
        <v>284</v>
      </c>
      <c r="M13" s="6" t="s">
        <v>285</v>
      </c>
      <c r="N13" s="6" t="s">
        <v>261</v>
      </c>
    </row>
    <row r="14" spans="1:14" ht="27.75" customHeight="1" x14ac:dyDescent="0.25">
      <c r="A14" s="6" t="s">
        <v>286</v>
      </c>
      <c r="B14" s="6">
        <v>4</v>
      </c>
      <c r="C14" s="6" t="s">
        <v>287</v>
      </c>
      <c r="D14" s="6" t="s">
        <v>288</v>
      </c>
      <c r="E14" s="6" t="s">
        <v>289</v>
      </c>
      <c r="F14" s="6" t="s">
        <v>290</v>
      </c>
      <c r="G14" s="6" t="s">
        <v>291</v>
      </c>
      <c r="H14" s="6" t="s">
        <v>292</v>
      </c>
      <c r="I14" s="6" t="s">
        <v>293</v>
      </c>
      <c r="J14" s="6" t="s">
        <v>69</v>
      </c>
      <c r="K14" s="6" t="s">
        <v>212</v>
      </c>
      <c r="L14" s="6" t="s">
        <v>294</v>
      </c>
      <c r="M14" s="6" t="s">
        <v>295</v>
      </c>
      <c r="N14" s="6" t="s">
        <v>296</v>
      </c>
    </row>
    <row r="15" spans="1:14" ht="27.75" customHeight="1" x14ac:dyDescent="0.25">
      <c r="A15" s="6" t="s">
        <v>297</v>
      </c>
      <c r="B15" s="6">
        <v>4</v>
      </c>
      <c r="C15" s="6" t="s">
        <v>287</v>
      </c>
      <c r="D15" s="6" t="s">
        <v>288</v>
      </c>
      <c r="E15" s="6" t="s">
        <v>298</v>
      </c>
      <c r="F15" s="6" t="s">
        <v>299</v>
      </c>
      <c r="G15" s="6" t="s">
        <v>300</v>
      </c>
      <c r="H15" s="6" t="s">
        <v>301</v>
      </c>
      <c r="I15" s="6" t="s">
        <v>302</v>
      </c>
      <c r="J15" s="6" t="s">
        <v>69</v>
      </c>
      <c r="K15" s="6" t="s">
        <v>212</v>
      </c>
      <c r="L15" s="6" t="s">
        <v>303</v>
      </c>
      <c r="M15" s="6" t="s">
        <v>304</v>
      </c>
      <c r="N15" s="6" t="s">
        <v>296</v>
      </c>
    </row>
    <row r="16" spans="1:14" ht="27.75" customHeight="1" x14ac:dyDescent="0.25">
      <c r="A16" s="6" t="s">
        <v>305</v>
      </c>
      <c r="B16" s="6">
        <v>4</v>
      </c>
      <c r="C16" s="6" t="s">
        <v>287</v>
      </c>
      <c r="D16" s="6" t="s">
        <v>288</v>
      </c>
      <c r="E16" s="6" t="s">
        <v>306</v>
      </c>
      <c r="F16" s="6" t="s">
        <v>307</v>
      </c>
      <c r="G16" s="6" t="s">
        <v>308</v>
      </c>
      <c r="H16" s="6" t="s">
        <v>309</v>
      </c>
      <c r="I16" s="6" t="s">
        <v>310</v>
      </c>
      <c r="J16" s="6" t="s">
        <v>69</v>
      </c>
      <c r="K16" s="6" t="s">
        <v>185</v>
      </c>
      <c r="L16" s="6" t="s">
        <v>311</v>
      </c>
      <c r="M16" s="6" t="s">
        <v>312</v>
      </c>
      <c r="N16" s="6" t="s">
        <v>296</v>
      </c>
    </row>
    <row r="17" spans="1:14" ht="27.75" customHeight="1" x14ac:dyDescent="0.25">
      <c r="A17" s="6" t="s">
        <v>313</v>
      </c>
      <c r="B17" s="6">
        <v>4</v>
      </c>
      <c r="C17" s="6" t="s">
        <v>287</v>
      </c>
      <c r="D17" s="6" t="s">
        <v>288</v>
      </c>
      <c r="E17" s="6" t="s">
        <v>314</v>
      </c>
      <c r="F17" s="6" t="s">
        <v>315</v>
      </c>
      <c r="G17" s="6" t="s">
        <v>316</v>
      </c>
      <c r="H17" s="6" t="s">
        <v>317</v>
      </c>
      <c r="I17" s="6" t="s">
        <v>318</v>
      </c>
      <c r="J17" s="6" t="s">
        <v>69</v>
      </c>
      <c r="K17" s="6" t="s">
        <v>185</v>
      </c>
      <c r="L17" s="6" t="s">
        <v>319</v>
      </c>
      <c r="M17" s="6" t="s">
        <v>320</v>
      </c>
      <c r="N17" s="6" t="s">
        <v>296</v>
      </c>
    </row>
    <row r="18" spans="1:14" ht="27.75" customHeight="1" x14ac:dyDescent="0.25">
      <c r="A18" s="6" t="s">
        <v>321</v>
      </c>
      <c r="B18" s="6">
        <v>5</v>
      </c>
      <c r="C18" s="6" t="s">
        <v>322</v>
      </c>
      <c r="D18" s="6" t="s">
        <v>323</v>
      </c>
      <c r="E18" s="6" t="s">
        <v>324</v>
      </c>
      <c r="F18" s="6" t="s">
        <v>325</v>
      </c>
      <c r="G18" s="6" t="s">
        <v>326</v>
      </c>
      <c r="H18" s="6" t="s">
        <v>327</v>
      </c>
      <c r="I18" s="6" t="s">
        <v>328</v>
      </c>
      <c r="J18" s="6" t="s">
        <v>69</v>
      </c>
      <c r="K18" s="6" t="s">
        <v>185</v>
      </c>
      <c r="L18" s="6" t="s">
        <v>329</v>
      </c>
      <c r="M18" s="6" t="s">
        <v>330</v>
      </c>
      <c r="N18" s="6" t="s">
        <v>331</v>
      </c>
    </row>
    <row r="19" spans="1:14" ht="27.75" customHeight="1" x14ac:dyDescent="0.25">
      <c r="A19" s="6" t="s">
        <v>332</v>
      </c>
      <c r="B19" s="6">
        <v>5</v>
      </c>
      <c r="C19" s="6" t="s">
        <v>322</v>
      </c>
      <c r="D19" s="6" t="s">
        <v>323</v>
      </c>
      <c r="E19" s="6" t="s">
        <v>333</v>
      </c>
      <c r="F19" s="6" t="s">
        <v>334</v>
      </c>
      <c r="G19" s="6" t="s">
        <v>335</v>
      </c>
      <c r="H19" s="6" t="s">
        <v>336</v>
      </c>
      <c r="I19" s="6" t="s">
        <v>337</v>
      </c>
      <c r="J19" s="6" t="s">
        <v>81</v>
      </c>
      <c r="K19" s="6" t="s">
        <v>212</v>
      </c>
      <c r="L19" s="6" t="s">
        <v>338</v>
      </c>
      <c r="M19" s="6" t="s">
        <v>339</v>
      </c>
      <c r="N19" s="6" t="s">
        <v>331</v>
      </c>
    </row>
    <row r="20" spans="1:14" ht="27.75" customHeight="1" x14ac:dyDescent="0.25">
      <c r="A20" s="6" t="s">
        <v>340</v>
      </c>
      <c r="B20" s="6">
        <v>5</v>
      </c>
      <c r="C20" s="6" t="s">
        <v>322</v>
      </c>
      <c r="D20" s="6" t="s">
        <v>323</v>
      </c>
      <c r="E20" s="6" t="s">
        <v>341</v>
      </c>
      <c r="F20" s="6" t="s">
        <v>342</v>
      </c>
      <c r="G20" s="6" t="s">
        <v>343</v>
      </c>
      <c r="H20" s="6" t="s">
        <v>344</v>
      </c>
      <c r="I20" s="6" t="s">
        <v>345</v>
      </c>
      <c r="J20" s="6" t="s">
        <v>69</v>
      </c>
      <c r="K20" s="6" t="s">
        <v>248</v>
      </c>
      <c r="L20" s="6" t="s">
        <v>346</v>
      </c>
      <c r="M20" s="6" t="s">
        <v>347</v>
      </c>
      <c r="N20" s="6" t="s">
        <v>331</v>
      </c>
    </row>
    <row r="21" spans="1:14" ht="27.75" customHeight="1" x14ac:dyDescent="0.25">
      <c r="A21" s="6" t="s">
        <v>348</v>
      </c>
      <c r="B21" s="6">
        <v>5</v>
      </c>
      <c r="C21" s="6" t="s">
        <v>322</v>
      </c>
      <c r="D21" s="6" t="s">
        <v>323</v>
      </c>
      <c r="E21" s="6" t="s">
        <v>349</v>
      </c>
      <c r="F21" s="6" t="s">
        <v>350</v>
      </c>
      <c r="G21" s="6" t="s">
        <v>351</v>
      </c>
      <c r="H21" s="6" t="s">
        <v>352</v>
      </c>
      <c r="I21" s="6" t="s">
        <v>353</v>
      </c>
      <c r="J21" s="6" t="s">
        <v>69</v>
      </c>
      <c r="K21" s="6" t="s">
        <v>185</v>
      </c>
      <c r="L21" s="6" t="s">
        <v>354</v>
      </c>
      <c r="M21" s="6" t="s">
        <v>355</v>
      </c>
      <c r="N21" s="6" t="s">
        <v>331</v>
      </c>
    </row>
    <row r="22" spans="1:14" ht="27.75" customHeight="1" x14ac:dyDescent="0.25">
      <c r="A22" s="6" t="s">
        <v>356</v>
      </c>
      <c r="B22" s="6">
        <v>6</v>
      </c>
      <c r="C22" s="6" t="s">
        <v>357</v>
      </c>
      <c r="D22" s="6" t="s">
        <v>358</v>
      </c>
      <c r="E22" s="6" t="s">
        <v>359</v>
      </c>
      <c r="F22" s="6" t="s">
        <v>360</v>
      </c>
      <c r="G22" s="6" t="s">
        <v>361</v>
      </c>
      <c r="H22" s="6" t="s">
        <v>362</v>
      </c>
      <c r="I22" s="6" t="s">
        <v>363</v>
      </c>
      <c r="J22" s="6" t="s">
        <v>69</v>
      </c>
      <c r="K22" s="6" t="s">
        <v>223</v>
      </c>
      <c r="L22" s="6" t="s">
        <v>364</v>
      </c>
      <c r="M22" s="6" t="s">
        <v>365</v>
      </c>
      <c r="N22" s="6" t="s">
        <v>366</v>
      </c>
    </row>
    <row r="23" spans="1:14" ht="27.75" customHeight="1" x14ac:dyDescent="0.25">
      <c r="A23" s="6" t="s">
        <v>367</v>
      </c>
      <c r="B23" s="6">
        <v>6</v>
      </c>
      <c r="C23" s="6" t="s">
        <v>357</v>
      </c>
      <c r="D23" s="6" t="s">
        <v>358</v>
      </c>
      <c r="E23" s="6" t="s">
        <v>368</v>
      </c>
      <c r="F23" s="6" t="s">
        <v>369</v>
      </c>
      <c r="G23" s="6" t="s">
        <v>370</v>
      </c>
      <c r="H23" s="6" t="s">
        <v>371</v>
      </c>
      <c r="I23" s="6" t="s">
        <v>372</v>
      </c>
      <c r="J23" s="6" t="s">
        <v>85</v>
      </c>
      <c r="K23" s="6" t="s">
        <v>185</v>
      </c>
      <c r="L23" s="6" t="s">
        <v>373</v>
      </c>
      <c r="M23" s="6" t="s">
        <v>374</v>
      </c>
      <c r="N23" s="6" t="s">
        <v>366</v>
      </c>
    </row>
    <row r="24" spans="1:14" ht="27.75" customHeight="1" x14ac:dyDescent="0.25">
      <c r="A24" s="6" t="s">
        <v>375</v>
      </c>
      <c r="B24" s="6">
        <v>6</v>
      </c>
      <c r="C24" s="6" t="s">
        <v>357</v>
      </c>
      <c r="D24" s="6" t="s">
        <v>358</v>
      </c>
      <c r="E24" s="6" t="s">
        <v>376</v>
      </c>
      <c r="F24" s="6" t="s">
        <v>377</v>
      </c>
      <c r="G24" s="6" t="s">
        <v>378</v>
      </c>
      <c r="H24" s="6" t="s">
        <v>379</v>
      </c>
      <c r="I24" s="6" t="s">
        <v>380</v>
      </c>
      <c r="J24" s="6" t="s">
        <v>69</v>
      </c>
      <c r="K24" s="6" t="s">
        <v>185</v>
      </c>
      <c r="L24" s="6" t="s">
        <v>381</v>
      </c>
      <c r="M24" s="6" t="s">
        <v>382</v>
      </c>
      <c r="N24" s="6" t="s">
        <v>366</v>
      </c>
    </row>
    <row r="25" spans="1:14" ht="27.75" customHeight="1" x14ac:dyDescent="0.25">
      <c r="A25" s="6" t="s">
        <v>383</v>
      </c>
      <c r="B25" s="6">
        <v>6</v>
      </c>
      <c r="C25" s="6" t="s">
        <v>357</v>
      </c>
      <c r="D25" s="6" t="s">
        <v>358</v>
      </c>
      <c r="E25" s="6" t="s">
        <v>384</v>
      </c>
      <c r="F25" s="6" t="s">
        <v>385</v>
      </c>
      <c r="G25" s="6" t="s">
        <v>386</v>
      </c>
      <c r="H25" s="6" t="s">
        <v>387</v>
      </c>
      <c r="I25" s="6" t="s">
        <v>388</v>
      </c>
      <c r="J25" s="6" t="s">
        <v>69</v>
      </c>
      <c r="K25" s="6" t="s">
        <v>248</v>
      </c>
      <c r="L25" s="6" t="s">
        <v>389</v>
      </c>
      <c r="M25" s="6" t="s">
        <v>390</v>
      </c>
      <c r="N25" s="6" t="s">
        <v>366</v>
      </c>
    </row>
    <row r="26" spans="1:14" ht="27.75" customHeight="1" x14ac:dyDescent="0.25">
      <c r="A26" s="6" t="s">
        <v>391</v>
      </c>
      <c r="B26" s="6">
        <v>7</v>
      </c>
      <c r="C26" s="6" t="s">
        <v>392</v>
      </c>
      <c r="D26" s="6" t="s">
        <v>393</v>
      </c>
      <c r="E26" s="6" t="s">
        <v>394</v>
      </c>
      <c r="F26" s="6" t="s">
        <v>395</v>
      </c>
      <c r="G26" s="6" t="s">
        <v>396</v>
      </c>
      <c r="H26" s="6" t="s">
        <v>397</v>
      </c>
      <c r="I26" s="6" t="s">
        <v>398</v>
      </c>
      <c r="J26" s="6" t="s">
        <v>69</v>
      </c>
      <c r="K26" s="6" t="s">
        <v>185</v>
      </c>
      <c r="L26" s="6" t="s">
        <v>399</v>
      </c>
      <c r="M26" s="6" t="s">
        <v>400</v>
      </c>
      <c r="N26" s="6" t="s">
        <v>401</v>
      </c>
    </row>
    <row r="27" spans="1:14" ht="27.75" customHeight="1" x14ac:dyDescent="0.25">
      <c r="A27" s="6" t="s">
        <v>402</v>
      </c>
      <c r="B27" s="6">
        <v>7</v>
      </c>
      <c r="C27" s="6" t="s">
        <v>392</v>
      </c>
      <c r="D27" s="6" t="s">
        <v>393</v>
      </c>
      <c r="E27" s="6" t="s">
        <v>403</v>
      </c>
      <c r="F27" s="6" t="s">
        <v>404</v>
      </c>
      <c r="G27" s="6" t="s">
        <v>405</v>
      </c>
      <c r="H27" s="6" t="s">
        <v>406</v>
      </c>
      <c r="I27" s="6" t="s">
        <v>407</v>
      </c>
      <c r="J27" s="6" t="s">
        <v>69</v>
      </c>
      <c r="K27" s="6" t="s">
        <v>185</v>
      </c>
      <c r="L27" s="6" t="s">
        <v>408</v>
      </c>
      <c r="M27" s="6" t="s">
        <v>409</v>
      </c>
      <c r="N27" s="6" t="s">
        <v>401</v>
      </c>
    </row>
    <row r="28" spans="1:14" ht="27.75" customHeight="1" x14ac:dyDescent="0.25">
      <c r="A28" s="6" t="s">
        <v>410</v>
      </c>
      <c r="B28" s="6">
        <v>7</v>
      </c>
      <c r="C28" s="6" t="s">
        <v>392</v>
      </c>
      <c r="D28" s="6" t="s">
        <v>393</v>
      </c>
      <c r="E28" s="6" t="s">
        <v>411</v>
      </c>
      <c r="F28" s="6" t="s">
        <v>412</v>
      </c>
      <c r="G28" s="6" t="s">
        <v>413</v>
      </c>
      <c r="H28" s="6" t="s">
        <v>414</v>
      </c>
      <c r="I28" s="6" t="s">
        <v>415</v>
      </c>
      <c r="J28" s="6" t="s">
        <v>69</v>
      </c>
      <c r="K28" s="6" t="s">
        <v>185</v>
      </c>
      <c r="L28" s="6" t="s">
        <v>416</v>
      </c>
      <c r="M28" s="6" t="s">
        <v>417</v>
      </c>
      <c r="N28" s="6" t="s">
        <v>401</v>
      </c>
    </row>
    <row r="29" spans="1:14" ht="27.75" customHeight="1" x14ac:dyDescent="0.25">
      <c r="A29" s="6" t="s">
        <v>418</v>
      </c>
      <c r="B29" s="6">
        <v>7</v>
      </c>
      <c r="C29" s="6" t="s">
        <v>392</v>
      </c>
      <c r="D29" s="6" t="s">
        <v>393</v>
      </c>
      <c r="E29" s="6" t="s">
        <v>419</v>
      </c>
      <c r="F29" s="6" t="s">
        <v>420</v>
      </c>
      <c r="G29" s="6" t="s">
        <v>421</v>
      </c>
      <c r="H29" s="6" t="s">
        <v>422</v>
      </c>
      <c r="I29" s="6" t="s">
        <v>423</v>
      </c>
      <c r="J29" s="6" t="s">
        <v>69</v>
      </c>
      <c r="K29" s="6" t="s">
        <v>424</v>
      </c>
      <c r="L29" s="6" t="s">
        <v>425</v>
      </c>
      <c r="M29" s="6" t="s">
        <v>426</v>
      </c>
      <c r="N29" s="6" t="s">
        <v>401</v>
      </c>
    </row>
    <row r="30" spans="1:14" ht="27.75" customHeight="1" x14ac:dyDescent="0.25">
      <c r="A30" s="6" t="s">
        <v>427</v>
      </c>
      <c r="B30" s="6">
        <v>8</v>
      </c>
      <c r="C30" s="6" t="s">
        <v>428</v>
      </c>
      <c r="D30" s="6" t="s">
        <v>429</v>
      </c>
      <c r="E30" s="6" t="s">
        <v>430</v>
      </c>
      <c r="F30" s="6" t="s">
        <v>431</v>
      </c>
      <c r="G30" s="6" t="s">
        <v>432</v>
      </c>
      <c r="H30" s="6" t="s">
        <v>433</v>
      </c>
      <c r="I30" s="6" t="s">
        <v>434</v>
      </c>
      <c r="J30" s="6" t="s">
        <v>69</v>
      </c>
      <c r="K30" s="6" t="s">
        <v>185</v>
      </c>
      <c r="L30" s="6" t="s">
        <v>435</v>
      </c>
      <c r="M30" s="6" t="s">
        <v>436</v>
      </c>
      <c r="N30" s="6" t="s">
        <v>437</v>
      </c>
    </row>
    <row r="31" spans="1:14" ht="27.75" customHeight="1" x14ac:dyDescent="0.25">
      <c r="A31" s="6" t="s">
        <v>438</v>
      </c>
      <c r="B31" s="6">
        <v>8</v>
      </c>
      <c r="C31" s="6" t="s">
        <v>428</v>
      </c>
      <c r="D31" s="6" t="s">
        <v>429</v>
      </c>
      <c r="E31" s="6" t="s">
        <v>439</v>
      </c>
      <c r="F31" s="6" t="s">
        <v>440</v>
      </c>
      <c r="G31" s="6" t="s">
        <v>441</v>
      </c>
      <c r="H31" s="6" t="s">
        <v>442</v>
      </c>
      <c r="I31" s="6" t="s">
        <v>443</v>
      </c>
      <c r="J31" s="6" t="s">
        <v>69</v>
      </c>
      <c r="K31" s="6" t="s">
        <v>185</v>
      </c>
      <c r="L31" s="6" t="s">
        <v>444</v>
      </c>
      <c r="M31" s="6" t="s">
        <v>445</v>
      </c>
      <c r="N31" s="6" t="s">
        <v>437</v>
      </c>
    </row>
    <row r="32" spans="1:14" ht="27.75" customHeight="1" x14ac:dyDescent="0.25">
      <c r="A32" s="6" t="s">
        <v>446</v>
      </c>
      <c r="B32" s="6">
        <v>8</v>
      </c>
      <c r="C32" s="6" t="s">
        <v>428</v>
      </c>
      <c r="D32" s="6" t="s">
        <v>429</v>
      </c>
      <c r="E32" s="6" t="s">
        <v>447</v>
      </c>
      <c r="F32" s="6" t="s">
        <v>448</v>
      </c>
      <c r="G32" s="6" t="s">
        <v>449</v>
      </c>
      <c r="H32" s="6" t="s">
        <v>450</v>
      </c>
      <c r="I32" s="6" t="s">
        <v>451</v>
      </c>
      <c r="J32" s="6" t="s">
        <v>69</v>
      </c>
      <c r="K32" s="6" t="s">
        <v>185</v>
      </c>
      <c r="L32" s="6" t="s">
        <v>452</v>
      </c>
      <c r="M32" s="6" t="s">
        <v>453</v>
      </c>
      <c r="N32" s="6" t="s">
        <v>437</v>
      </c>
    </row>
    <row r="33" spans="1:14" ht="27.75" customHeight="1" x14ac:dyDescent="0.25">
      <c r="A33" s="6" t="s">
        <v>454</v>
      </c>
      <c r="B33" s="6">
        <v>8</v>
      </c>
      <c r="C33" s="6" t="s">
        <v>428</v>
      </c>
      <c r="D33" s="6" t="s">
        <v>429</v>
      </c>
      <c r="E33" s="6" t="s">
        <v>455</v>
      </c>
      <c r="F33" s="6" t="s">
        <v>456</v>
      </c>
      <c r="G33" s="6" t="s">
        <v>457</v>
      </c>
      <c r="H33" s="6" t="s">
        <v>458</v>
      </c>
      <c r="I33" s="6" t="s">
        <v>459</v>
      </c>
      <c r="J33" s="6" t="s">
        <v>69</v>
      </c>
      <c r="K33" s="6" t="s">
        <v>248</v>
      </c>
      <c r="L33" s="6" t="s">
        <v>460</v>
      </c>
      <c r="M33" s="6" t="s">
        <v>461</v>
      </c>
      <c r="N33" s="6" t="s">
        <v>437</v>
      </c>
    </row>
    <row r="34" spans="1:14" ht="27.75" customHeight="1" x14ac:dyDescent="0.25">
      <c r="A34" s="6" t="s">
        <v>462</v>
      </c>
      <c r="B34" s="6">
        <v>9</v>
      </c>
      <c r="C34" s="6" t="s">
        <v>463</v>
      </c>
      <c r="D34" s="6" t="s">
        <v>464</v>
      </c>
      <c r="E34" s="6" t="s">
        <v>465</v>
      </c>
      <c r="F34" s="6" t="s">
        <v>290</v>
      </c>
      <c r="G34" s="6" t="s">
        <v>466</v>
      </c>
      <c r="H34" s="6" t="s">
        <v>467</v>
      </c>
      <c r="I34" s="6" t="s">
        <v>468</v>
      </c>
      <c r="J34" s="6" t="s">
        <v>69</v>
      </c>
      <c r="K34" s="6" t="s">
        <v>212</v>
      </c>
      <c r="L34" s="6" t="s">
        <v>469</v>
      </c>
      <c r="M34" s="6" t="s">
        <v>470</v>
      </c>
      <c r="N34" s="6" t="s">
        <v>471</v>
      </c>
    </row>
    <row r="35" spans="1:14" ht="27.75" customHeight="1" x14ac:dyDescent="0.25">
      <c r="A35" s="6" t="s">
        <v>472</v>
      </c>
      <c r="B35" s="6">
        <v>9</v>
      </c>
      <c r="C35" s="6" t="s">
        <v>463</v>
      </c>
      <c r="D35" s="6" t="s">
        <v>464</v>
      </c>
      <c r="E35" s="6" t="s">
        <v>473</v>
      </c>
      <c r="F35" s="6" t="s">
        <v>474</v>
      </c>
      <c r="G35" s="6" t="s">
        <v>475</v>
      </c>
      <c r="H35" s="6" t="s">
        <v>476</v>
      </c>
      <c r="I35" s="6" t="s">
        <v>477</v>
      </c>
      <c r="J35" s="6" t="s">
        <v>69</v>
      </c>
      <c r="K35" s="6" t="s">
        <v>212</v>
      </c>
      <c r="L35" s="6" t="s">
        <v>478</v>
      </c>
      <c r="M35" s="6" t="s">
        <v>479</v>
      </c>
      <c r="N35" s="6" t="s">
        <v>471</v>
      </c>
    </row>
    <row r="36" spans="1:14" ht="27.75" customHeight="1" x14ac:dyDescent="0.25">
      <c r="A36" s="6" t="s">
        <v>480</v>
      </c>
      <c r="B36" s="6">
        <v>9</v>
      </c>
      <c r="C36" s="6" t="s">
        <v>463</v>
      </c>
      <c r="D36" s="6" t="s">
        <v>464</v>
      </c>
      <c r="E36" s="6" t="s">
        <v>481</v>
      </c>
      <c r="F36" s="6" t="s">
        <v>482</v>
      </c>
      <c r="G36" s="6" t="s">
        <v>483</v>
      </c>
      <c r="H36" s="6" t="s">
        <v>484</v>
      </c>
      <c r="I36" s="6" t="s">
        <v>485</v>
      </c>
      <c r="J36" s="6" t="s">
        <v>85</v>
      </c>
      <c r="K36" s="6" t="s">
        <v>212</v>
      </c>
      <c r="L36" s="6" t="s">
        <v>486</v>
      </c>
      <c r="M36" s="6" t="s">
        <v>487</v>
      </c>
      <c r="N36" s="6" t="s">
        <v>471</v>
      </c>
    </row>
    <row r="37" spans="1:14" ht="27.75" customHeight="1" x14ac:dyDescent="0.25">
      <c r="A37" s="6" t="s">
        <v>488</v>
      </c>
      <c r="B37" s="6">
        <v>9</v>
      </c>
      <c r="C37" s="6" t="s">
        <v>463</v>
      </c>
      <c r="D37" s="6" t="s">
        <v>464</v>
      </c>
      <c r="E37" s="6" t="s">
        <v>489</v>
      </c>
      <c r="F37" s="6" t="s">
        <v>490</v>
      </c>
      <c r="G37" s="6" t="s">
        <v>491</v>
      </c>
      <c r="H37" s="6" t="s">
        <v>492</v>
      </c>
      <c r="I37" s="6" t="s">
        <v>493</v>
      </c>
      <c r="J37" s="6" t="s">
        <v>69</v>
      </c>
      <c r="K37" s="6" t="s">
        <v>494</v>
      </c>
      <c r="L37" s="6" t="s">
        <v>495</v>
      </c>
      <c r="M37" s="6" t="s">
        <v>496</v>
      </c>
      <c r="N37" s="6" t="s">
        <v>471</v>
      </c>
    </row>
    <row r="38" spans="1:14" ht="27.75" customHeight="1" x14ac:dyDescent="0.25">
      <c r="A38" s="6" t="s">
        <v>497</v>
      </c>
      <c r="B38" s="6">
        <v>10</v>
      </c>
      <c r="C38" s="6" t="s">
        <v>498</v>
      </c>
      <c r="D38" s="6" t="s">
        <v>499</v>
      </c>
      <c r="E38" s="6" t="s">
        <v>500</v>
      </c>
      <c r="F38" s="6" t="s">
        <v>501</v>
      </c>
      <c r="G38" s="6" t="s">
        <v>502</v>
      </c>
      <c r="H38" s="6" t="s">
        <v>503</v>
      </c>
      <c r="I38" s="6" t="s">
        <v>504</v>
      </c>
      <c r="J38" s="6" t="s">
        <v>85</v>
      </c>
      <c r="K38" s="6" t="s">
        <v>223</v>
      </c>
      <c r="L38" s="6" t="s">
        <v>505</v>
      </c>
      <c r="M38" s="6" t="s">
        <v>506</v>
      </c>
      <c r="N38" s="6" t="s">
        <v>507</v>
      </c>
    </row>
    <row r="39" spans="1:14" ht="27.75" customHeight="1" x14ac:dyDescent="0.25">
      <c r="A39" s="6" t="s">
        <v>508</v>
      </c>
      <c r="B39" s="6">
        <v>10</v>
      </c>
      <c r="C39" s="6" t="s">
        <v>498</v>
      </c>
      <c r="D39" s="6" t="s">
        <v>499</v>
      </c>
      <c r="E39" s="6" t="s">
        <v>509</v>
      </c>
      <c r="F39" s="6" t="s">
        <v>510</v>
      </c>
      <c r="G39" s="6" t="s">
        <v>511</v>
      </c>
      <c r="H39" s="6" t="s">
        <v>512</v>
      </c>
      <c r="I39" s="6" t="s">
        <v>513</v>
      </c>
      <c r="J39" s="6" t="s">
        <v>85</v>
      </c>
      <c r="K39" s="6" t="s">
        <v>185</v>
      </c>
      <c r="L39" s="6" t="s">
        <v>514</v>
      </c>
      <c r="M39" s="6" t="s">
        <v>515</v>
      </c>
      <c r="N39" s="6" t="s">
        <v>507</v>
      </c>
    </row>
    <row r="40" spans="1:14" ht="27.75" customHeight="1" x14ac:dyDescent="0.25">
      <c r="A40" s="6" t="s">
        <v>516</v>
      </c>
      <c r="B40" s="6">
        <v>10</v>
      </c>
      <c r="C40" s="6" t="s">
        <v>498</v>
      </c>
      <c r="D40" s="6" t="s">
        <v>499</v>
      </c>
      <c r="E40" s="6" t="s">
        <v>359</v>
      </c>
      <c r="F40" s="6" t="s">
        <v>517</v>
      </c>
      <c r="G40" s="6" t="s">
        <v>518</v>
      </c>
      <c r="H40" s="6" t="s">
        <v>519</v>
      </c>
      <c r="I40" s="6" t="s">
        <v>520</v>
      </c>
      <c r="J40" s="6" t="s">
        <v>69</v>
      </c>
      <c r="K40" s="6" t="s">
        <v>223</v>
      </c>
      <c r="L40" s="6" t="s">
        <v>521</v>
      </c>
      <c r="M40" s="6" t="s">
        <v>522</v>
      </c>
      <c r="N40" s="6" t="s">
        <v>507</v>
      </c>
    </row>
    <row r="41" spans="1:14" ht="27.75" customHeight="1" x14ac:dyDescent="0.25">
      <c r="A41" s="6" t="s">
        <v>523</v>
      </c>
      <c r="B41" s="6">
        <v>10</v>
      </c>
      <c r="C41" s="6" t="s">
        <v>498</v>
      </c>
      <c r="D41" s="6" t="s">
        <v>499</v>
      </c>
      <c r="E41" s="6" t="s">
        <v>524</v>
      </c>
      <c r="F41" s="6" t="s">
        <v>525</v>
      </c>
      <c r="G41" s="6" t="s">
        <v>526</v>
      </c>
      <c r="H41" s="6" t="s">
        <v>527</v>
      </c>
      <c r="I41" s="6" t="s">
        <v>528</v>
      </c>
      <c r="J41" s="6" t="s">
        <v>69</v>
      </c>
      <c r="K41" s="6" t="s">
        <v>185</v>
      </c>
      <c r="L41" s="6" t="s">
        <v>529</v>
      </c>
      <c r="M41" s="6" t="s">
        <v>530</v>
      </c>
      <c r="N41" s="6" t="s">
        <v>507</v>
      </c>
    </row>
    <row r="42" spans="1:14" ht="27.75" customHeight="1" x14ac:dyDescent="0.25">
      <c r="A42" s="6" t="s">
        <v>531</v>
      </c>
      <c r="B42" s="6">
        <v>11</v>
      </c>
      <c r="C42" s="6" t="s">
        <v>532</v>
      </c>
      <c r="D42" s="6" t="s">
        <v>533</v>
      </c>
      <c r="E42" s="6" t="s">
        <v>534</v>
      </c>
      <c r="F42" s="6" t="s">
        <v>535</v>
      </c>
      <c r="G42" s="6" t="s">
        <v>536</v>
      </c>
      <c r="H42" s="6" t="s">
        <v>537</v>
      </c>
      <c r="I42" s="6" t="s">
        <v>538</v>
      </c>
      <c r="J42" s="6" t="s">
        <v>69</v>
      </c>
      <c r="K42" s="6" t="s">
        <v>212</v>
      </c>
      <c r="L42" s="6" t="s">
        <v>539</v>
      </c>
      <c r="M42" s="6" t="s">
        <v>540</v>
      </c>
      <c r="N42" s="6" t="s">
        <v>541</v>
      </c>
    </row>
    <row r="43" spans="1:14" ht="27.75" customHeight="1" x14ac:dyDescent="0.25">
      <c r="A43" s="6" t="s">
        <v>542</v>
      </c>
      <c r="B43" s="6">
        <v>11</v>
      </c>
      <c r="C43" s="6" t="s">
        <v>532</v>
      </c>
      <c r="D43" s="6" t="s">
        <v>533</v>
      </c>
      <c r="E43" s="6" t="s">
        <v>543</v>
      </c>
      <c r="F43" s="6" t="s">
        <v>544</v>
      </c>
      <c r="G43" s="6" t="s">
        <v>545</v>
      </c>
      <c r="H43" s="6" t="s">
        <v>546</v>
      </c>
      <c r="I43" s="6" t="s">
        <v>547</v>
      </c>
      <c r="J43" s="6" t="s">
        <v>77</v>
      </c>
      <c r="K43" s="6" t="s">
        <v>195</v>
      </c>
      <c r="L43" s="6" t="s">
        <v>548</v>
      </c>
      <c r="M43" s="6" t="s">
        <v>549</v>
      </c>
      <c r="N43" s="6" t="s">
        <v>541</v>
      </c>
    </row>
    <row r="44" spans="1:14" ht="27.75" customHeight="1" x14ac:dyDescent="0.25">
      <c r="A44" s="6" t="s">
        <v>550</v>
      </c>
      <c r="B44" s="6">
        <v>11</v>
      </c>
      <c r="C44" s="6" t="s">
        <v>532</v>
      </c>
      <c r="D44" s="6" t="s">
        <v>533</v>
      </c>
      <c r="E44" s="6" t="s">
        <v>551</v>
      </c>
      <c r="F44" s="6" t="s">
        <v>552</v>
      </c>
      <c r="G44" s="6" t="s">
        <v>553</v>
      </c>
      <c r="H44" s="6" t="s">
        <v>554</v>
      </c>
      <c r="I44" s="6" t="s">
        <v>538</v>
      </c>
      <c r="J44" s="6" t="s">
        <v>69</v>
      </c>
      <c r="K44" s="6" t="s">
        <v>185</v>
      </c>
      <c r="L44" s="6" t="s">
        <v>555</v>
      </c>
      <c r="M44" s="6" t="s">
        <v>556</v>
      </c>
      <c r="N44" s="6" t="s">
        <v>541</v>
      </c>
    </row>
    <row r="45" spans="1:14" ht="27.75" customHeight="1" x14ac:dyDescent="0.25">
      <c r="A45" s="6" t="s">
        <v>557</v>
      </c>
      <c r="B45" s="6">
        <v>11</v>
      </c>
      <c r="C45" s="6" t="s">
        <v>532</v>
      </c>
      <c r="D45" s="6" t="s">
        <v>533</v>
      </c>
      <c r="E45" s="6" t="s">
        <v>558</v>
      </c>
      <c r="F45" s="6" t="s">
        <v>559</v>
      </c>
      <c r="G45" s="6" t="s">
        <v>560</v>
      </c>
      <c r="H45" s="6" t="s">
        <v>561</v>
      </c>
      <c r="I45" s="6" t="s">
        <v>562</v>
      </c>
      <c r="J45" s="6" t="s">
        <v>69</v>
      </c>
      <c r="K45" s="6" t="s">
        <v>185</v>
      </c>
      <c r="L45" s="6" t="s">
        <v>563</v>
      </c>
      <c r="M45" s="6" t="s">
        <v>564</v>
      </c>
      <c r="N45" s="6" t="s">
        <v>541</v>
      </c>
    </row>
    <row r="46" spans="1:14" ht="27.75" customHeight="1" x14ac:dyDescent="0.25">
      <c r="A46" s="6" t="s">
        <v>565</v>
      </c>
      <c r="B46" s="6">
        <v>12</v>
      </c>
      <c r="C46" s="6" t="s">
        <v>566</v>
      </c>
      <c r="D46" s="6" t="s">
        <v>567</v>
      </c>
      <c r="E46" s="6" t="s">
        <v>568</v>
      </c>
      <c r="F46" s="6" t="s">
        <v>290</v>
      </c>
      <c r="G46" s="6" t="s">
        <v>569</v>
      </c>
      <c r="H46" s="6" t="s">
        <v>570</v>
      </c>
      <c r="I46" s="6" t="s">
        <v>571</v>
      </c>
      <c r="J46" s="6" t="s">
        <v>69</v>
      </c>
      <c r="K46" s="6" t="s">
        <v>212</v>
      </c>
      <c r="L46" s="6" t="s">
        <v>572</v>
      </c>
      <c r="M46" s="6" t="s">
        <v>573</v>
      </c>
      <c r="N46" s="6" t="s">
        <v>471</v>
      </c>
    </row>
    <row r="47" spans="1:14" ht="27.75" customHeight="1" x14ac:dyDescent="0.25">
      <c r="A47" s="6" t="s">
        <v>574</v>
      </c>
      <c r="B47" s="6">
        <v>12</v>
      </c>
      <c r="C47" s="6" t="s">
        <v>566</v>
      </c>
      <c r="D47" s="6" t="s">
        <v>567</v>
      </c>
      <c r="E47" s="6" t="s">
        <v>575</v>
      </c>
      <c r="F47" s="6" t="s">
        <v>576</v>
      </c>
      <c r="G47" s="6" t="s">
        <v>577</v>
      </c>
      <c r="H47" s="6" t="s">
        <v>578</v>
      </c>
      <c r="I47" s="6" t="s">
        <v>579</v>
      </c>
      <c r="J47" s="6" t="s">
        <v>69</v>
      </c>
      <c r="K47" s="6" t="s">
        <v>185</v>
      </c>
      <c r="L47" s="6" t="s">
        <v>580</v>
      </c>
      <c r="M47" s="6" t="s">
        <v>581</v>
      </c>
      <c r="N47" s="6" t="s">
        <v>471</v>
      </c>
    </row>
    <row r="48" spans="1:14" ht="27.75" customHeight="1" x14ac:dyDescent="0.25">
      <c r="A48" s="6" t="s">
        <v>582</v>
      </c>
      <c r="B48" s="6">
        <v>12</v>
      </c>
      <c r="C48" s="6" t="s">
        <v>566</v>
      </c>
      <c r="D48" s="6" t="s">
        <v>567</v>
      </c>
      <c r="E48" s="6" t="s">
        <v>583</v>
      </c>
      <c r="F48" s="6" t="s">
        <v>584</v>
      </c>
      <c r="G48" s="6" t="s">
        <v>585</v>
      </c>
      <c r="H48" s="6" t="s">
        <v>586</v>
      </c>
      <c r="I48" s="6" t="s">
        <v>587</v>
      </c>
      <c r="J48" s="6" t="s">
        <v>69</v>
      </c>
      <c r="K48" s="6" t="s">
        <v>185</v>
      </c>
      <c r="L48" s="6" t="s">
        <v>588</v>
      </c>
      <c r="M48" s="6" t="s">
        <v>589</v>
      </c>
      <c r="N48" s="6" t="s">
        <v>471</v>
      </c>
    </row>
    <row r="49" spans="1:14" ht="27.75" customHeight="1" x14ac:dyDescent="0.25">
      <c r="A49" s="6" t="s">
        <v>590</v>
      </c>
      <c r="B49" s="6">
        <v>12</v>
      </c>
      <c r="C49" s="6" t="s">
        <v>566</v>
      </c>
      <c r="D49" s="6" t="s">
        <v>567</v>
      </c>
      <c r="E49" s="6" t="s">
        <v>591</v>
      </c>
      <c r="F49" s="6" t="s">
        <v>592</v>
      </c>
      <c r="G49" s="6" t="s">
        <v>593</v>
      </c>
      <c r="H49" s="6" t="s">
        <v>594</v>
      </c>
      <c r="I49" s="6" t="s">
        <v>595</v>
      </c>
      <c r="J49" s="6" t="s">
        <v>69</v>
      </c>
      <c r="K49" s="6" t="s">
        <v>212</v>
      </c>
      <c r="L49" s="6" t="s">
        <v>596</v>
      </c>
      <c r="M49" s="6" t="s">
        <v>597</v>
      </c>
      <c r="N49" s="6" t="s">
        <v>471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28"/>
  <sheetViews>
    <sheetView tabSelected="1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F14" sqref="F14"/>
    </sheetView>
  </sheetViews>
  <sheetFormatPr defaultColWidth="8.7109375" defaultRowHeight="15" x14ac:dyDescent="0.25"/>
  <cols>
    <col min="1" max="1" width="10" customWidth="1"/>
    <col min="2" max="2" width="28" customWidth="1"/>
    <col min="3" max="4" width="30" customWidth="1"/>
    <col min="5" max="5" width="44" customWidth="1"/>
    <col min="6" max="6" width="10" customWidth="1"/>
    <col min="7" max="7" width="26" customWidth="1"/>
    <col min="8" max="8" width="78" customWidth="1"/>
    <col min="9" max="10" width="13" customWidth="1"/>
  </cols>
  <sheetData>
    <row r="1" spans="1:10" ht="38.25" x14ac:dyDescent="0.25">
      <c r="A1" s="5" t="s">
        <v>163</v>
      </c>
      <c r="B1" s="5" t="s">
        <v>165</v>
      </c>
      <c r="C1" s="5" t="s">
        <v>167</v>
      </c>
      <c r="D1" s="5" t="s">
        <v>598</v>
      </c>
      <c r="E1" s="5" t="s">
        <v>599</v>
      </c>
      <c r="F1" s="5" t="s">
        <v>600</v>
      </c>
      <c r="G1" s="5" t="s">
        <v>172</v>
      </c>
      <c r="H1" s="5" t="s">
        <v>601</v>
      </c>
      <c r="I1" s="5" t="s">
        <v>602</v>
      </c>
      <c r="J1" s="5" t="s">
        <v>603</v>
      </c>
    </row>
    <row r="2" spans="1:10" ht="52.5" customHeight="1" x14ac:dyDescent="0.25">
      <c r="A2" s="6" t="s">
        <v>177</v>
      </c>
      <c r="B2" s="6" t="s">
        <v>178</v>
      </c>
      <c r="C2" s="6" t="s">
        <v>180</v>
      </c>
      <c r="D2" s="6" t="s">
        <v>604</v>
      </c>
      <c r="E2" s="6" t="s">
        <v>605</v>
      </c>
      <c r="F2" s="6" t="s">
        <v>606</v>
      </c>
      <c r="G2" s="6" t="s">
        <v>69</v>
      </c>
      <c r="H2" s="13" t="s">
        <v>607</v>
      </c>
      <c r="I2" s="14">
        <v>9</v>
      </c>
      <c r="J2" s="14">
        <v>13</v>
      </c>
    </row>
    <row r="3" spans="1:10" ht="52.5" customHeight="1" x14ac:dyDescent="0.25">
      <c r="A3" s="6" t="s">
        <v>177</v>
      </c>
      <c r="B3" s="6" t="s">
        <v>178</v>
      </c>
      <c r="C3" s="6" t="s">
        <v>180</v>
      </c>
      <c r="D3" s="6" t="s">
        <v>608</v>
      </c>
      <c r="E3" s="6" t="s">
        <v>609</v>
      </c>
      <c r="F3" s="6" t="s">
        <v>606</v>
      </c>
      <c r="G3" s="6" t="s">
        <v>69</v>
      </c>
      <c r="H3" s="13" t="s">
        <v>610</v>
      </c>
      <c r="I3" s="14">
        <v>8</v>
      </c>
      <c r="J3" s="14">
        <v>11</v>
      </c>
    </row>
    <row r="4" spans="1:10" ht="52.5" customHeight="1" x14ac:dyDescent="0.25">
      <c r="A4" s="6" t="s">
        <v>177</v>
      </c>
      <c r="B4" s="6" t="s">
        <v>178</v>
      </c>
      <c r="C4" s="6" t="s">
        <v>180</v>
      </c>
      <c r="D4" s="6" t="s">
        <v>611</v>
      </c>
      <c r="E4" s="6" t="s">
        <v>612</v>
      </c>
      <c r="F4" s="6" t="s">
        <v>606</v>
      </c>
      <c r="G4" s="6" t="s">
        <v>69</v>
      </c>
      <c r="H4" s="13" t="s">
        <v>613</v>
      </c>
      <c r="I4" s="14">
        <v>11</v>
      </c>
      <c r="J4" s="14">
        <v>16</v>
      </c>
    </row>
    <row r="5" spans="1:10" ht="52.5" customHeight="1" x14ac:dyDescent="0.25">
      <c r="A5" s="6" t="s">
        <v>189</v>
      </c>
      <c r="B5" s="6" t="s">
        <v>178</v>
      </c>
      <c r="C5" s="6" t="s">
        <v>190</v>
      </c>
      <c r="D5" s="6" t="s">
        <v>614</v>
      </c>
      <c r="E5" s="6" t="s">
        <v>615</v>
      </c>
      <c r="F5" s="6" t="s">
        <v>606</v>
      </c>
      <c r="G5" s="6" t="s">
        <v>73</v>
      </c>
      <c r="H5" s="13" t="s">
        <v>616</v>
      </c>
      <c r="I5" s="14">
        <v>132</v>
      </c>
      <c r="J5" s="14">
        <v>245</v>
      </c>
    </row>
    <row r="6" spans="1:10" ht="52.5" customHeight="1" x14ac:dyDescent="0.25">
      <c r="A6" s="6" t="s">
        <v>189</v>
      </c>
      <c r="B6" s="6" t="s">
        <v>178</v>
      </c>
      <c r="C6" s="6" t="s">
        <v>190</v>
      </c>
      <c r="D6" s="6" t="s">
        <v>617</v>
      </c>
      <c r="E6" s="6" t="s">
        <v>618</v>
      </c>
      <c r="F6" s="6" t="s">
        <v>606</v>
      </c>
      <c r="G6" s="6" t="s">
        <v>73</v>
      </c>
      <c r="H6" s="13" t="s">
        <v>619</v>
      </c>
      <c r="I6" s="14">
        <v>138</v>
      </c>
      <c r="J6" s="14">
        <v>255</v>
      </c>
    </row>
    <row r="7" spans="1:10" ht="52.5" customHeight="1" x14ac:dyDescent="0.25">
      <c r="A7" s="6" t="s">
        <v>198</v>
      </c>
      <c r="B7" s="6" t="s">
        <v>178</v>
      </c>
      <c r="C7" s="6" t="s">
        <v>199</v>
      </c>
      <c r="D7" s="6" t="s">
        <v>608</v>
      </c>
      <c r="E7" s="6" t="s">
        <v>609</v>
      </c>
      <c r="F7" s="6" t="s">
        <v>606</v>
      </c>
      <c r="G7" s="6" t="s">
        <v>69</v>
      </c>
      <c r="H7" s="13" t="s">
        <v>620</v>
      </c>
      <c r="I7" s="14">
        <v>12</v>
      </c>
      <c r="J7" s="14">
        <v>19</v>
      </c>
    </row>
    <row r="8" spans="1:10" ht="52.5" customHeight="1" x14ac:dyDescent="0.25">
      <c r="A8" s="6" t="s">
        <v>198</v>
      </c>
      <c r="B8" s="6" t="s">
        <v>178</v>
      </c>
      <c r="C8" s="6" t="s">
        <v>199</v>
      </c>
      <c r="D8" s="6" t="s">
        <v>621</v>
      </c>
      <c r="E8" s="6" t="s">
        <v>622</v>
      </c>
      <c r="F8" s="6" t="s">
        <v>606</v>
      </c>
      <c r="G8" s="6" t="s">
        <v>69</v>
      </c>
      <c r="H8" s="13" t="s">
        <v>623</v>
      </c>
      <c r="I8" s="14">
        <v>14</v>
      </c>
      <c r="J8" s="14">
        <v>21</v>
      </c>
    </row>
    <row r="9" spans="1:10" ht="52.5" customHeight="1" x14ac:dyDescent="0.25">
      <c r="A9" s="6" t="s">
        <v>206</v>
      </c>
      <c r="B9" s="6" t="s">
        <v>178</v>
      </c>
      <c r="C9" s="6" t="s">
        <v>207</v>
      </c>
      <c r="D9" s="6" t="s">
        <v>604</v>
      </c>
      <c r="E9" s="6" t="s">
        <v>605</v>
      </c>
      <c r="F9" s="6" t="s">
        <v>606</v>
      </c>
      <c r="G9" s="6" t="s">
        <v>69</v>
      </c>
      <c r="H9" s="13" t="s">
        <v>624</v>
      </c>
      <c r="I9" s="14">
        <v>8</v>
      </c>
      <c r="J9" s="14">
        <v>28</v>
      </c>
    </row>
    <row r="10" spans="1:10" ht="52.5" customHeight="1" x14ac:dyDescent="0.25">
      <c r="A10" s="6" t="s">
        <v>206</v>
      </c>
      <c r="B10" s="6" t="s">
        <v>178</v>
      </c>
      <c r="C10" s="6" t="s">
        <v>207</v>
      </c>
      <c r="D10" s="6" t="s">
        <v>625</v>
      </c>
      <c r="E10" s="6" t="s">
        <v>626</v>
      </c>
      <c r="F10" s="6" t="s">
        <v>606</v>
      </c>
      <c r="G10" s="6" t="s">
        <v>69</v>
      </c>
      <c r="H10" s="13" t="s">
        <v>627</v>
      </c>
      <c r="I10" s="14">
        <v>10</v>
      </c>
      <c r="J10" s="14">
        <v>32</v>
      </c>
    </row>
    <row r="11" spans="1:10" ht="65.25" customHeight="1" x14ac:dyDescent="0.25">
      <c r="A11" s="6" t="s">
        <v>215</v>
      </c>
      <c r="B11" s="6" t="s">
        <v>216</v>
      </c>
      <c r="C11" s="6" t="s">
        <v>218</v>
      </c>
      <c r="D11" s="6" t="s">
        <v>628</v>
      </c>
      <c r="E11" s="6" t="s">
        <v>629</v>
      </c>
      <c r="F11" s="6" t="s">
        <v>606</v>
      </c>
      <c r="G11" s="6" t="s">
        <v>69</v>
      </c>
      <c r="H11" s="13" t="s">
        <v>630</v>
      </c>
      <c r="I11" s="14">
        <v>575</v>
      </c>
      <c r="J11" s="14">
        <v>767</v>
      </c>
    </row>
    <row r="12" spans="1:10" ht="52.5" customHeight="1" x14ac:dyDescent="0.25">
      <c r="A12" s="6" t="s">
        <v>215</v>
      </c>
      <c r="B12" s="6" t="s">
        <v>216</v>
      </c>
      <c r="C12" s="6" t="s">
        <v>218</v>
      </c>
      <c r="D12" s="6" t="s">
        <v>631</v>
      </c>
      <c r="E12" s="6" t="s">
        <v>632</v>
      </c>
      <c r="F12" s="6" t="s">
        <v>606</v>
      </c>
      <c r="G12" s="6" t="s">
        <v>69</v>
      </c>
      <c r="H12" s="13" t="s">
        <v>633</v>
      </c>
      <c r="I12" s="14">
        <v>418</v>
      </c>
      <c r="J12" s="14">
        <v>557</v>
      </c>
    </row>
    <row r="13" spans="1:10" ht="52.5" customHeight="1" x14ac:dyDescent="0.25">
      <c r="A13" s="6" t="s">
        <v>215</v>
      </c>
      <c r="B13" s="6" t="s">
        <v>216</v>
      </c>
      <c r="C13" s="6" t="s">
        <v>218</v>
      </c>
      <c r="D13" s="6" t="s">
        <v>634</v>
      </c>
      <c r="E13" s="6" t="s">
        <v>635</v>
      </c>
      <c r="F13" s="6" t="s">
        <v>606</v>
      </c>
      <c r="G13" s="6" t="s">
        <v>69</v>
      </c>
      <c r="H13" s="13" t="s">
        <v>636</v>
      </c>
      <c r="I13" s="14">
        <v>507</v>
      </c>
      <c r="J13" s="14">
        <v>676</v>
      </c>
    </row>
    <row r="14" spans="1:10" ht="140.25" customHeight="1" x14ac:dyDescent="0.25">
      <c r="A14" s="6" t="s">
        <v>226</v>
      </c>
      <c r="B14" s="6" t="s">
        <v>216</v>
      </c>
      <c r="C14" s="6" t="s">
        <v>227</v>
      </c>
      <c r="D14" s="6" t="s">
        <v>637</v>
      </c>
      <c r="E14" s="6" t="s">
        <v>638</v>
      </c>
      <c r="F14" s="6" t="s">
        <v>639</v>
      </c>
      <c r="G14" s="6" t="s">
        <v>81</v>
      </c>
      <c r="H14" s="13" t="s">
        <v>640</v>
      </c>
      <c r="I14" s="14">
        <v>21</v>
      </c>
      <c r="J14" s="14">
        <v>30</v>
      </c>
    </row>
    <row r="15" spans="1:10" ht="52.5" customHeight="1" x14ac:dyDescent="0.25">
      <c r="A15" s="6" t="s">
        <v>234</v>
      </c>
      <c r="B15" s="6" t="s">
        <v>216</v>
      </c>
      <c r="C15" s="6" t="s">
        <v>235</v>
      </c>
      <c r="D15" s="6" t="s">
        <v>641</v>
      </c>
      <c r="E15" s="6" t="s">
        <v>642</v>
      </c>
      <c r="F15" s="6" t="s">
        <v>606</v>
      </c>
      <c r="G15" s="6" t="s">
        <v>69</v>
      </c>
      <c r="H15" s="13" t="s">
        <v>643</v>
      </c>
      <c r="I15" s="14">
        <v>182</v>
      </c>
      <c r="J15" s="14">
        <v>239</v>
      </c>
    </row>
    <row r="16" spans="1:10" ht="52.5" customHeight="1" x14ac:dyDescent="0.25">
      <c r="A16" s="6" t="s">
        <v>234</v>
      </c>
      <c r="B16" s="6" t="s">
        <v>216</v>
      </c>
      <c r="C16" s="6" t="s">
        <v>235</v>
      </c>
      <c r="D16" s="6" t="s">
        <v>631</v>
      </c>
      <c r="E16" s="6" t="s">
        <v>632</v>
      </c>
      <c r="F16" s="6" t="s">
        <v>606</v>
      </c>
      <c r="G16" s="6" t="s">
        <v>69</v>
      </c>
      <c r="H16" s="13" t="s">
        <v>644</v>
      </c>
      <c r="I16" s="14">
        <v>103</v>
      </c>
      <c r="J16" s="14">
        <v>136</v>
      </c>
    </row>
    <row r="17" spans="1:10" ht="52.5" customHeight="1" x14ac:dyDescent="0.25">
      <c r="A17" s="6" t="s">
        <v>242</v>
      </c>
      <c r="B17" s="6" t="s">
        <v>216</v>
      </c>
      <c r="C17" s="6" t="s">
        <v>243</v>
      </c>
      <c r="D17" s="6" t="s">
        <v>645</v>
      </c>
      <c r="E17" s="6" t="s">
        <v>646</v>
      </c>
      <c r="F17" s="6" t="s">
        <v>606</v>
      </c>
      <c r="G17" s="6" t="s">
        <v>69</v>
      </c>
      <c r="H17" s="13" t="s">
        <v>647</v>
      </c>
      <c r="I17" s="14">
        <v>61</v>
      </c>
      <c r="J17" s="14">
        <v>98</v>
      </c>
    </row>
    <row r="18" spans="1:10" ht="40.5" customHeight="1" x14ac:dyDescent="0.25">
      <c r="A18" s="6" t="s">
        <v>242</v>
      </c>
      <c r="B18" s="6" t="s">
        <v>216</v>
      </c>
      <c r="C18" s="6" t="s">
        <v>243</v>
      </c>
      <c r="D18" s="6" t="s">
        <v>648</v>
      </c>
      <c r="E18" s="6" t="s">
        <v>649</v>
      </c>
      <c r="F18" s="6" t="s">
        <v>606</v>
      </c>
      <c r="G18" s="6" t="s">
        <v>69</v>
      </c>
      <c r="H18" s="13" t="s">
        <v>650</v>
      </c>
      <c r="I18" s="14">
        <v>63</v>
      </c>
      <c r="J18" s="14">
        <v>102</v>
      </c>
    </row>
    <row r="19" spans="1:10" ht="52.5" customHeight="1" x14ac:dyDescent="0.25">
      <c r="A19" s="6" t="s">
        <v>251</v>
      </c>
      <c r="B19" s="6" t="s">
        <v>252</v>
      </c>
      <c r="C19" s="6" t="s">
        <v>254</v>
      </c>
      <c r="D19" s="6" t="s">
        <v>651</v>
      </c>
      <c r="E19" s="6" t="s">
        <v>652</v>
      </c>
      <c r="F19" s="6" t="s">
        <v>606</v>
      </c>
      <c r="G19" s="6" t="s">
        <v>69</v>
      </c>
      <c r="H19" s="13" t="s">
        <v>653</v>
      </c>
      <c r="I19" s="14">
        <v>133</v>
      </c>
      <c r="J19" s="14">
        <v>151</v>
      </c>
    </row>
    <row r="20" spans="1:10" ht="52.5" customHeight="1" x14ac:dyDescent="0.25">
      <c r="A20" s="6" t="s">
        <v>251</v>
      </c>
      <c r="B20" s="6" t="s">
        <v>252</v>
      </c>
      <c r="C20" s="6" t="s">
        <v>254</v>
      </c>
      <c r="D20" s="6" t="s">
        <v>654</v>
      </c>
      <c r="E20" s="6" t="s">
        <v>655</v>
      </c>
      <c r="F20" s="6" t="s">
        <v>606</v>
      </c>
      <c r="G20" s="6" t="s">
        <v>69</v>
      </c>
      <c r="H20" s="13" t="s">
        <v>656</v>
      </c>
      <c r="I20" s="14">
        <v>76</v>
      </c>
      <c r="J20" s="14">
        <v>86</v>
      </c>
    </row>
    <row r="21" spans="1:10" ht="52.5" customHeight="1" x14ac:dyDescent="0.25">
      <c r="A21" s="6" t="s">
        <v>251</v>
      </c>
      <c r="B21" s="6" t="s">
        <v>252</v>
      </c>
      <c r="C21" s="6" t="s">
        <v>254</v>
      </c>
      <c r="D21" s="6" t="s">
        <v>657</v>
      </c>
      <c r="E21" s="6" t="s">
        <v>658</v>
      </c>
      <c r="F21" s="6" t="s">
        <v>606</v>
      </c>
      <c r="G21" s="6" t="s">
        <v>69</v>
      </c>
      <c r="H21" s="13" t="s">
        <v>659</v>
      </c>
      <c r="I21" s="14">
        <v>99</v>
      </c>
      <c r="J21" s="14">
        <v>113</v>
      </c>
    </row>
    <row r="22" spans="1:10" ht="40.5" customHeight="1" x14ac:dyDescent="0.25">
      <c r="A22" s="6" t="s">
        <v>262</v>
      </c>
      <c r="B22" s="6" t="s">
        <v>252</v>
      </c>
      <c r="C22" s="6" t="s">
        <v>263</v>
      </c>
      <c r="D22" s="6" t="s">
        <v>660</v>
      </c>
      <c r="E22" s="6" t="s">
        <v>655</v>
      </c>
      <c r="F22" s="6" t="s">
        <v>606</v>
      </c>
      <c r="G22" s="6" t="s">
        <v>69</v>
      </c>
      <c r="H22" s="13" t="s">
        <v>661</v>
      </c>
      <c r="I22" s="14">
        <v>12</v>
      </c>
      <c r="J22" s="14">
        <v>13</v>
      </c>
    </row>
    <row r="23" spans="1:10" ht="40.5" customHeight="1" x14ac:dyDescent="0.25">
      <c r="A23" s="6" t="s">
        <v>262</v>
      </c>
      <c r="B23" s="6" t="s">
        <v>252</v>
      </c>
      <c r="C23" s="6" t="s">
        <v>263</v>
      </c>
      <c r="D23" s="6" t="s">
        <v>662</v>
      </c>
      <c r="E23" s="6" t="s">
        <v>663</v>
      </c>
      <c r="F23" s="6" t="s">
        <v>606</v>
      </c>
      <c r="G23" s="6" t="s">
        <v>69</v>
      </c>
      <c r="H23" s="13" t="s">
        <v>664</v>
      </c>
      <c r="I23" s="14">
        <v>9</v>
      </c>
      <c r="J23" s="14">
        <v>10</v>
      </c>
    </row>
    <row r="24" spans="1:10" ht="40.5" customHeight="1" x14ac:dyDescent="0.25">
      <c r="A24" s="6" t="s">
        <v>262</v>
      </c>
      <c r="B24" s="6" t="s">
        <v>252</v>
      </c>
      <c r="C24" s="6" t="s">
        <v>263</v>
      </c>
      <c r="D24" s="6" t="s">
        <v>651</v>
      </c>
      <c r="E24" s="6" t="s">
        <v>652</v>
      </c>
      <c r="F24" s="6" t="s">
        <v>606</v>
      </c>
      <c r="G24" s="6" t="s">
        <v>69</v>
      </c>
      <c r="H24" s="13" t="s">
        <v>665</v>
      </c>
      <c r="I24" s="14">
        <v>15</v>
      </c>
      <c r="J24" s="14">
        <v>17</v>
      </c>
    </row>
    <row r="25" spans="1:10" ht="40.5" customHeight="1" x14ac:dyDescent="0.25">
      <c r="A25" s="6" t="s">
        <v>270</v>
      </c>
      <c r="B25" s="6" t="s">
        <v>252</v>
      </c>
      <c r="C25" s="6" t="s">
        <v>271</v>
      </c>
      <c r="D25" s="6" t="s">
        <v>666</v>
      </c>
      <c r="E25" s="6" t="s">
        <v>667</v>
      </c>
      <c r="F25" s="6" t="s">
        <v>606</v>
      </c>
      <c r="G25" s="6" t="s">
        <v>69</v>
      </c>
      <c r="H25" s="13" t="s">
        <v>668</v>
      </c>
      <c r="I25" s="14">
        <v>7</v>
      </c>
      <c r="J25" s="14">
        <v>9</v>
      </c>
    </row>
    <row r="26" spans="1:10" ht="52.5" customHeight="1" x14ac:dyDescent="0.25">
      <c r="A26" s="6" t="s">
        <v>270</v>
      </c>
      <c r="B26" s="6" t="s">
        <v>252</v>
      </c>
      <c r="C26" s="6" t="s">
        <v>271</v>
      </c>
      <c r="D26" s="6" t="s">
        <v>669</v>
      </c>
      <c r="E26" s="6" t="s">
        <v>670</v>
      </c>
      <c r="F26" s="6" t="s">
        <v>606</v>
      </c>
      <c r="G26" s="6" t="s">
        <v>69</v>
      </c>
      <c r="H26" s="13" t="s">
        <v>671</v>
      </c>
      <c r="I26" s="14">
        <v>10</v>
      </c>
      <c r="J26" s="14">
        <v>13</v>
      </c>
    </row>
    <row r="27" spans="1:10" ht="40.5" customHeight="1" x14ac:dyDescent="0.25">
      <c r="A27" s="6" t="s">
        <v>270</v>
      </c>
      <c r="B27" s="6" t="s">
        <v>252</v>
      </c>
      <c r="C27" s="6" t="s">
        <v>271</v>
      </c>
      <c r="D27" s="6" t="s">
        <v>672</v>
      </c>
      <c r="E27" s="6" t="s">
        <v>673</v>
      </c>
      <c r="F27" s="6" t="s">
        <v>606</v>
      </c>
      <c r="G27" s="6" t="s">
        <v>69</v>
      </c>
      <c r="H27" s="13" t="s">
        <v>674</v>
      </c>
      <c r="I27" s="14">
        <v>7</v>
      </c>
      <c r="J27" s="14">
        <v>10</v>
      </c>
    </row>
    <row r="28" spans="1:10" ht="52.5" customHeight="1" x14ac:dyDescent="0.25">
      <c r="A28" s="6" t="s">
        <v>278</v>
      </c>
      <c r="B28" s="6" t="s">
        <v>252</v>
      </c>
      <c r="C28" s="6" t="s">
        <v>279</v>
      </c>
      <c r="D28" s="6" t="s">
        <v>675</v>
      </c>
      <c r="E28" s="6" t="s">
        <v>676</v>
      </c>
      <c r="F28" s="6" t="s">
        <v>606</v>
      </c>
      <c r="G28" s="6" t="s">
        <v>85</v>
      </c>
      <c r="H28" s="13" t="s">
        <v>677</v>
      </c>
      <c r="I28" s="14">
        <v>40</v>
      </c>
      <c r="J28" s="14">
        <v>50</v>
      </c>
    </row>
    <row r="29" spans="1:10" ht="40.5" customHeight="1" x14ac:dyDescent="0.25">
      <c r="A29" s="6" t="s">
        <v>278</v>
      </c>
      <c r="B29" s="6" t="s">
        <v>252</v>
      </c>
      <c r="C29" s="6" t="s">
        <v>279</v>
      </c>
      <c r="D29" s="6" t="s">
        <v>678</v>
      </c>
      <c r="E29" s="6" t="s">
        <v>679</v>
      </c>
      <c r="F29" s="6" t="s">
        <v>606</v>
      </c>
      <c r="G29" s="6" t="s">
        <v>85</v>
      </c>
      <c r="H29" s="13" t="s">
        <v>680</v>
      </c>
      <c r="I29" s="14">
        <v>60</v>
      </c>
      <c r="J29" s="14">
        <v>75</v>
      </c>
    </row>
    <row r="30" spans="1:10" ht="40.5" customHeight="1" x14ac:dyDescent="0.25">
      <c r="A30" s="6" t="s">
        <v>278</v>
      </c>
      <c r="B30" s="6" t="s">
        <v>252</v>
      </c>
      <c r="C30" s="6" t="s">
        <v>279</v>
      </c>
      <c r="D30" s="6" t="s">
        <v>681</v>
      </c>
      <c r="E30" s="6" t="s">
        <v>682</v>
      </c>
      <c r="F30" s="6" t="s">
        <v>606</v>
      </c>
      <c r="G30" s="6" t="s">
        <v>85</v>
      </c>
      <c r="H30" s="13" t="s">
        <v>683</v>
      </c>
      <c r="I30" s="14">
        <v>72</v>
      </c>
      <c r="J30" s="14">
        <v>90</v>
      </c>
    </row>
    <row r="31" spans="1:10" ht="52.5" customHeight="1" x14ac:dyDescent="0.25">
      <c r="A31" s="6" t="s">
        <v>286</v>
      </c>
      <c r="B31" s="6" t="s">
        <v>287</v>
      </c>
      <c r="C31" s="6" t="s">
        <v>289</v>
      </c>
      <c r="D31" s="6" t="s">
        <v>684</v>
      </c>
      <c r="E31" s="6" t="s">
        <v>685</v>
      </c>
      <c r="F31" s="6" t="s">
        <v>606</v>
      </c>
      <c r="G31" s="6" t="s">
        <v>69</v>
      </c>
      <c r="H31" s="13" t="s">
        <v>686</v>
      </c>
      <c r="I31" s="14">
        <v>1</v>
      </c>
      <c r="J31" s="14">
        <v>14</v>
      </c>
    </row>
    <row r="32" spans="1:10" ht="52.5" customHeight="1" x14ac:dyDescent="0.25">
      <c r="A32" s="6" t="s">
        <v>286</v>
      </c>
      <c r="B32" s="6" t="s">
        <v>287</v>
      </c>
      <c r="C32" s="6" t="s">
        <v>289</v>
      </c>
      <c r="D32" s="6" t="s">
        <v>687</v>
      </c>
      <c r="E32" s="6" t="s">
        <v>688</v>
      </c>
      <c r="F32" s="6" t="s">
        <v>606</v>
      </c>
      <c r="G32" s="6" t="s">
        <v>69</v>
      </c>
      <c r="H32" s="13" t="s">
        <v>689</v>
      </c>
      <c r="I32" s="14">
        <v>1</v>
      </c>
      <c r="J32" s="14">
        <v>15</v>
      </c>
    </row>
    <row r="33" spans="1:10" ht="52.5" customHeight="1" x14ac:dyDescent="0.25">
      <c r="A33" s="6" t="s">
        <v>286</v>
      </c>
      <c r="B33" s="6" t="s">
        <v>287</v>
      </c>
      <c r="C33" s="6" t="s">
        <v>289</v>
      </c>
      <c r="D33" s="6" t="s">
        <v>690</v>
      </c>
      <c r="E33" s="6" t="s">
        <v>691</v>
      </c>
      <c r="F33" s="6" t="s">
        <v>606</v>
      </c>
      <c r="G33" s="6" t="s">
        <v>69</v>
      </c>
      <c r="H33" s="13" t="s">
        <v>692</v>
      </c>
      <c r="I33" s="14">
        <v>3</v>
      </c>
      <c r="J33" s="14">
        <v>21</v>
      </c>
    </row>
    <row r="34" spans="1:10" ht="40.5" customHeight="1" x14ac:dyDescent="0.25">
      <c r="A34" s="6" t="s">
        <v>297</v>
      </c>
      <c r="B34" s="6" t="s">
        <v>287</v>
      </c>
      <c r="C34" s="6" t="s">
        <v>298</v>
      </c>
      <c r="D34" s="6" t="s">
        <v>693</v>
      </c>
      <c r="E34" s="6" t="s">
        <v>694</v>
      </c>
      <c r="F34" s="6" t="s">
        <v>606</v>
      </c>
      <c r="G34" s="6" t="s">
        <v>69</v>
      </c>
      <c r="H34" s="13" t="s">
        <v>695</v>
      </c>
      <c r="I34" s="14">
        <v>2</v>
      </c>
      <c r="J34" s="14">
        <v>5</v>
      </c>
    </row>
    <row r="35" spans="1:10" ht="40.5" customHeight="1" x14ac:dyDescent="0.25">
      <c r="A35" s="6" t="s">
        <v>297</v>
      </c>
      <c r="B35" s="6" t="s">
        <v>287</v>
      </c>
      <c r="C35" s="6" t="s">
        <v>298</v>
      </c>
      <c r="D35" s="6" t="s">
        <v>696</v>
      </c>
      <c r="E35" s="6" t="s">
        <v>697</v>
      </c>
      <c r="F35" s="6" t="s">
        <v>606</v>
      </c>
      <c r="G35" s="6" t="s">
        <v>69</v>
      </c>
      <c r="H35" s="13" t="s">
        <v>698</v>
      </c>
      <c r="I35" s="14">
        <v>2</v>
      </c>
      <c r="J35" s="14">
        <v>6</v>
      </c>
    </row>
    <row r="36" spans="1:10" ht="40.5" customHeight="1" x14ac:dyDescent="0.25">
      <c r="A36" s="6" t="s">
        <v>297</v>
      </c>
      <c r="B36" s="6" t="s">
        <v>287</v>
      </c>
      <c r="C36" s="6" t="s">
        <v>298</v>
      </c>
      <c r="D36" s="6" t="s">
        <v>699</v>
      </c>
      <c r="E36" s="6" t="s">
        <v>700</v>
      </c>
      <c r="F36" s="6" t="s">
        <v>606</v>
      </c>
      <c r="G36" s="6" t="s">
        <v>69</v>
      </c>
      <c r="H36" s="13" t="s">
        <v>701</v>
      </c>
      <c r="I36" s="14">
        <v>3</v>
      </c>
      <c r="J36" s="14">
        <v>9</v>
      </c>
    </row>
    <row r="37" spans="1:10" ht="40.5" customHeight="1" x14ac:dyDescent="0.25">
      <c r="A37" s="6" t="s">
        <v>305</v>
      </c>
      <c r="B37" s="6" t="s">
        <v>287</v>
      </c>
      <c r="C37" s="6" t="s">
        <v>306</v>
      </c>
      <c r="D37" s="6" t="s">
        <v>702</v>
      </c>
      <c r="E37" s="6" t="s">
        <v>703</v>
      </c>
      <c r="F37" s="6" t="s">
        <v>606</v>
      </c>
      <c r="G37" s="6" t="s">
        <v>69</v>
      </c>
      <c r="H37" s="13" t="s">
        <v>704</v>
      </c>
      <c r="I37" s="14">
        <v>13</v>
      </c>
      <c r="J37" s="14">
        <v>21</v>
      </c>
    </row>
    <row r="38" spans="1:10" ht="40.5" customHeight="1" x14ac:dyDescent="0.25">
      <c r="A38" s="6" t="s">
        <v>305</v>
      </c>
      <c r="B38" s="6" t="s">
        <v>287</v>
      </c>
      <c r="C38" s="6" t="s">
        <v>306</v>
      </c>
      <c r="D38" s="6" t="s">
        <v>705</v>
      </c>
      <c r="E38" s="6" t="s">
        <v>706</v>
      </c>
      <c r="F38" s="6" t="s">
        <v>606</v>
      </c>
      <c r="G38" s="6" t="s">
        <v>69</v>
      </c>
      <c r="H38" s="13" t="s">
        <v>707</v>
      </c>
      <c r="I38" s="14">
        <v>17</v>
      </c>
      <c r="J38" s="14">
        <v>29</v>
      </c>
    </row>
    <row r="39" spans="1:10" ht="52.5" customHeight="1" x14ac:dyDescent="0.25">
      <c r="A39" s="6" t="s">
        <v>305</v>
      </c>
      <c r="B39" s="6" t="s">
        <v>287</v>
      </c>
      <c r="C39" s="6" t="s">
        <v>306</v>
      </c>
      <c r="D39" s="6" t="s">
        <v>708</v>
      </c>
      <c r="E39" s="6" t="s">
        <v>709</v>
      </c>
      <c r="F39" s="6" t="s">
        <v>606</v>
      </c>
      <c r="G39" s="6" t="s">
        <v>69</v>
      </c>
      <c r="H39" s="13" t="s">
        <v>710</v>
      </c>
      <c r="I39" s="14">
        <v>15</v>
      </c>
      <c r="J39" s="14">
        <v>25</v>
      </c>
    </row>
    <row r="40" spans="1:10" ht="52.5" customHeight="1" x14ac:dyDescent="0.25">
      <c r="A40" s="6" t="s">
        <v>313</v>
      </c>
      <c r="B40" s="6" t="s">
        <v>287</v>
      </c>
      <c r="C40" s="6" t="s">
        <v>314</v>
      </c>
      <c r="D40" s="6" t="s">
        <v>711</v>
      </c>
      <c r="E40" s="6" t="s">
        <v>712</v>
      </c>
      <c r="F40" s="6" t="s">
        <v>606</v>
      </c>
      <c r="G40" s="6" t="s">
        <v>69</v>
      </c>
      <c r="H40" s="13" t="s">
        <v>713</v>
      </c>
      <c r="I40" s="14">
        <v>16</v>
      </c>
      <c r="J40" s="14">
        <v>35</v>
      </c>
    </row>
    <row r="41" spans="1:10" ht="52.5" customHeight="1" x14ac:dyDescent="0.25">
      <c r="A41" s="6" t="s">
        <v>313</v>
      </c>
      <c r="B41" s="6" t="s">
        <v>287</v>
      </c>
      <c r="C41" s="6" t="s">
        <v>314</v>
      </c>
      <c r="D41" s="6" t="s">
        <v>714</v>
      </c>
      <c r="E41" s="6" t="s">
        <v>715</v>
      </c>
      <c r="F41" s="6" t="s">
        <v>606</v>
      </c>
      <c r="G41" s="6" t="s">
        <v>69</v>
      </c>
      <c r="H41" s="13" t="s">
        <v>716</v>
      </c>
      <c r="I41" s="14">
        <v>20</v>
      </c>
      <c r="J41" s="14">
        <v>45</v>
      </c>
    </row>
    <row r="42" spans="1:10" ht="52.5" customHeight="1" x14ac:dyDescent="0.25">
      <c r="A42" s="6" t="s">
        <v>321</v>
      </c>
      <c r="B42" s="6" t="s">
        <v>322</v>
      </c>
      <c r="C42" s="6" t="s">
        <v>324</v>
      </c>
      <c r="D42" s="6" t="s">
        <v>717</v>
      </c>
      <c r="E42" s="6" t="s">
        <v>718</v>
      </c>
      <c r="F42" s="6" t="s">
        <v>606</v>
      </c>
      <c r="G42" s="6" t="s">
        <v>69</v>
      </c>
      <c r="H42" s="13" t="s">
        <v>719</v>
      </c>
      <c r="I42" s="14">
        <v>8</v>
      </c>
      <c r="J42" s="14">
        <v>126</v>
      </c>
    </row>
    <row r="43" spans="1:10" ht="52.5" customHeight="1" x14ac:dyDescent="0.25">
      <c r="A43" s="6" t="s">
        <v>321</v>
      </c>
      <c r="B43" s="6" t="s">
        <v>322</v>
      </c>
      <c r="C43" s="6" t="s">
        <v>324</v>
      </c>
      <c r="D43" s="6" t="s">
        <v>720</v>
      </c>
      <c r="E43" s="6" t="s">
        <v>721</v>
      </c>
      <c r="F43" s="6" t="s">
        <v>606</v>
      </c>
      <c r="G43" s="6" t="s">
        <v>69</v>
      </c>
      <c r="H43" s="13" t="s">
        <v>722</v>
      </c>
      <c r="I43" s="14">
        <v>3</v>
      </c>
      <c r="J43" s="14">
        <v>52</v>
      </c>
    </row>
    <row r="44" spans="1:10" ht="52.5" customHeight="1" x14ac:dyDescent="0.25">
      <c r="A44" s="6" t="s">
        <v>321</v>
      </c>
      <c r="B44" s="6" t="s">
        <v>322</v>
      </c>
      <c r="C44" s="6" t="s">
        <v>324</v>
      </c>
      <c r="D44" s="6" t="s">
        <v>723</v>
      </c>
      <c r="E44" s="6" t="s">
        <v>724</v>
      </c>
      <c r="F44" s="6" t="s">
        <v>606</v>
      </c>
      <c r="G44" s="6" t="s">
        <v>69</v>
      </c>
      <c r="H44" s="13" t="s">
        <v>725</v>
      </c>
      <c r="I44" s="14">
        <v>4</v>
      </c>
      <c r="J44" s="14">
        <v>72</v>
      </c>
    </row>
    <row r="45" spans="1:10" ht="90" customHeight="1" x14ac:dyDescent="0.25">
      <c r="A45" s="6" t="s">
        <v>332</v>
      </c>
      <c r="B45" s="6" t="s">
        <v>322</v>
      </c>
      <c r="C45" s="6" t="s">
        <v>333</v>
      </c>
      <c r="D45" s="6" t="s">
        <v>726</v>
      </c>
      <c r="E45" s="6" t="s">
        <v>727</v>
      </c>
      <c r="F45" s="6" t="s">
        <v>639</v>
      </c>
      <c r="G45" s="6" t="s">
        <v>81</v>
      </c>
      <c r="H45" s="13" t="s">
        <v>728</v>
      </c>
      <c r="I45" s="14">
        <v>144</v>
      </c>
      <c r="J45" s="14">
        <v>200</v>
      </c>
    </row>
    <row r="46" spans="1:10" ht="40.5" customHeight="1" x14ac:dyDescent="0.25">
      <c r="A46" s="6" t="s">
        <v>340</v>
      </c>
      <c r="B46" s="6" t="s">
        <v>322</v>
      </c>
      <c r="C46" s="6" t="s">
        <v>341</v>
      </c>
      <c r="D46" s="6" t="s">
        <v>729</v>
      </c>
      <c r="E46" s="6" t="s">
        <v>730</v>
      </c>
      <c r="F46" s="6" t="s">
        <v>639</v>
      </c>
      <c r="G46" s="6" t="s">
        <v>69</v>
      </c>
      <c r="H46" s="13" t="s">
        <v>731</v>
      </c>
      <c r="I46" s="14">
        <v>5</v>
      </c>
      <c r="J46" s="14">
        <v>25</v>
      </c>
    </row>
    <row r="47" spans="1:10" ht="40.5" customHeight="1" x14ac:dyDescent="0.25">
      <c r="A47" s="6" t="s">
        <v>340</v>
      </c>
      <c r="B47" s="6" t="s">
        <v>322</v>
      </c>
      <c r="C47" s="6" t="s">
        <v>341</v>
      </c>
      <c r="D47" s="6" t="s">
        <v>732</v>
      </c>
      <c r="E47" s="6" t="s">
        <v>733</v>
      </c>
      <c r="F47" s="6" t="s">
        <v>606</v>
      </c>
      <c r="G47" s="6" t="s">
        <v>69</v>
      </c>
      <c r="H47" s="13" t="s">
        <v>734</v>
      </c>
      <c r="I47" s="14">
        <v>4</v>
      </c>
      <c r="J47" s="14">
        <v>20</v>
      </c>
    </row>
    <row r="48" spans="1:10" ht="52.5" customHeight="1" x14ac:dyDescent="0.25">
      <c r="A48" s="6" t="s">
        <v>348</v>
      </c>
      <c r="B48" s="6" t="s">
        <v>322</v>
      </c>
      <c r="C48" s="6" t="s">
        <v>349</v>
      </c>
      <c r="D48" s="6" t="s">
        <v>708</v>
      </c>
      <c r="E48" s="6" t="s">
        <v>709</v>
      </c>
      <c r="F48" s="6" t="s">
        <v>606</v>
      </c>
      <c r="G48" s="6" t="s">
        <v>69</v>
      </c>
      <c r="H48" s="13" t="s">
        <v>735</v>
      </c>
      <c r="I48" s="14">
        <v>7</v>
      </c>
      <c r="J48" s="14">
        <v>52</v>
      </c>
    </row>
    <row r="49" spans="1:10" ht="52.5" customHeight="1" x14ac:dyDescent="0.25">
      <c r="A49" s="6" t="s">
        <v>348</v>
      </c>
      <c r="B49" s="6" t="s">
        <v>322</v>
      </c>
      <c r="C49" s="6" t="s">
        <v>349</v>
      </c>
      <c r="D49" s="6" t="s">
        <v>736</v>
      </c>
      <c r="E49" s="6" t="s">
        <v>737</v>
      </c>
      <c r="F49" s="6" t="s">
        <v>606</v>
      </c>
      <c r="G49" s="6" t="s">
        <v>69</v>
      </c>
      <c r="H49" s="13" t="s">
        <v>738</v>
      </c>
      <c r="I49" s="14">
        <v>14</v>
      </c>
      <c r="J49" s="14">
        <v>99</v>
      </c>
    </row>
    <row r="50" spans="1:10" ht="52.5" customHeight="1" x14ac:dyDescent="0.25">
      <c r="A50" s="6" t="s">
        <v>348</v>
      </c>
      <c r="B50" s="6" t="s">
        <v>322</v>
      </c>
      <c r="C50" s="6" t="s">
        <v>349</v>
      </c>
      <c r="D50" s="6" t="s">
        <v>702</v>
      </c>
      <c r="E50" s="6" t="s">
        <v>703</v>
      </c>
      <c r="F50" s="6" t="s">
        <v>606</v>
      </c>
      <c r="G50" s="6" t="s">
        <v>69</v>
      </c>
      <c r="H50" s="13" t="s">
        <v>739</v>
      </c>
      <c r="I50" s="14">
        <v>14</v>
      </c>
      <c r="J50" s="14">
        <v>99</v>
      </c>
    </row>
    <row r="51" spans="1:10" ht="52.5" customHeight="1" x14ac:dyDescent="0.25">
      <c r="A51" s="6" t="s">
        <v>356</v>
      </c>
      <c r="B51" s="6" t="s">
        <v>357</v>
      </c>
      <c r="C51" s="6" t="s">
        <v>359</v>
      </c>
      <c r="D51" s="6" t="s">
        <v>740</v>
      </c>
      <c r="E51" s="6" t="s">
        <v>741</v>
      </c>
      <c r="F51" s="6" t="s">
        <v>606</v>
      </c>
      <c r="G51" s="6" t="s">
        <v>69</v>
      </c>
      <c r="H51" s="13" t="s">
        <v>742</v>
      </c>
      <c r="I51" s="14">
        <v>224</v>
      </c>
      <c r="J51" s="14">
        <v>466</v>
      </c>
    </row>
    <row r="52" spans="1:10" ht="52.5" customHeight="1" x14ac:dyDescent="0.25">
      <c r="A52" s="6" t="s">
        <v>356</v>
      </c>
      <c r="B52" s="6" t="s">
        <v>357</v>
      </c>
      <c r="C52" s="6" t="s">
        <v>359</v>
      </c>
      <c r="D52" s="6" t="s">
        <v>743</v>
      </c>
      <c r="E52" s="6" t="s">
        <v>744</v>
      </c>
      <c r="F52" s="6" t="s">
        <v>606</v>
      </c>
      <c r="G52" s="6" t="s">
        <v>69</v>
      </c>
      <c r="H52" s="13" t="s">
        <v>745</v>
      </c>
      <c r="I52" s="14">
        <v>372</v>
      </c>
      <c r="J52" s="14">
        <v>774</v>
      </c>
    </row>
    <row r="53" spans="1:10" ht="52.5" customHeight="1" x14ac:dyDescent="0.25">
      <c r="A53" s="6" t="s">
        <v>356</v>
      </c>
      <c r="B53" s="6" t="s">
        <v>357</v>
      </c>
      <c r="C53" s="6" t="s">
        <v>359</v>
      </c>
      <c r="D53" s="6" t="s">
        <v>746</v>
      </c>
      <c r="E53" s="6" t="s">
        <v>747</v>
      </c>
      <c r="F53" s="6" t="s">
        <v>606</v>
      </c>
      <c r="G53" s="6" t="s">
        <v>69</v>
      </c>
      <c r="H53" s="13" t="s">
        <v>748</v>
      </c>
      <c r="I53" s="14">
        <v>364</v>
      </c>
      <c r="J53" s="14">
        <v>760</v>
      </c>
    </row>
    <row r="54" spans="1:10" ht="52.5" customHeight="1" x14ac:dyDescent="0.25">
      <c r="A54" s="6" t="s">
        <v>367</v>
      </c>
      <c r="B54" s="6" t="s">
        <v>357</v>
      </c>
      <c r="C54" s="6" t="s">
        <v>368</v>
      </c>
      <c r="D54" s="6" t="s">
        <v>675</v>
      </c>
      <c r="E54" s="6" t="s">
        <v>676</v>
      </c>
      <c r="F54" s="6" t="s">
        <v>606</v>
      </c>
      <c r="G54" s="6" t="s">
        <v>85</v>
      </c>
      <c r="H54" s="13" t="s">
        <v>749</v>
      </c>
      <c r="I54" s="14">
        <v>21</v>
      </c>
      <c r="J54" s="14">
        <v>30</v>
      </c>
    </row>
    <row r="55" spans="1:10" ht="52.5" customHeight="1" x14ac:dyDescent="0.25">
      <c r="A55" s="6" t="s">
        <v>367</v>
      </c>
      <c r="B55" s="6" t="s">
        <v>357</v>
      </c>
      <c r="C55" s="6" t="s">
        <v>368</v>
      </c>
      <c r="D55" s="6" t="s">
        <v>678</v>
      </c>
      <c r="E55" s="6" t="s">
        <v>679</v>
      </c>
      <c r="F55" s="6" t="s">
        <v>606</v>
      </c>
      <c r="G55" s="6" t="s">
        <v>85</v>
      </c>
      <c r="H55" s="13" t="s">
        <v>750</v>
      </c>
      <c r="I55" s="14">
        <v>37</v>
      </c>
      <c r="J55" s="14">
        <v>53</v>
      </c>
    </row>
    <row r="56" spans="1:10" ht="52.5" customHeight="1" x14ac:dyDescent="0.25">
      <c r="A56" s="6" t="s">
        <v>367</v>
      </c>
      <c r="B56" s="6" t="s">
        <v>357</v>
      </c>
      <c r="C56" s="6" t="s">
        <v>368</v>
      </c>
      <c r="D56" s="6" t="s">
        <v>751</v>
      </c>
      <c r="E56" s="6" t="s">
        <v>752</v>
      </c>
      <c r="F56" s="6" t="s">
        <v>606</v>
      </c>
      <c r="G56" s="6" t="s">
        <v>85</v>
      </c>
      <c r="H56" s="13" t="s">
        <v>753</v>
      </c>
      <c r="I56" s="14">
        <v>26</v>
      </c>
      <c r="J56" s="14">
        <v>37</v>
      </c>
    </row>
    <row r="57" spans="1:10" ht="52.5" customHeight="1" x14ac:dyDescent="0.25">
      <c r="A57" s="6" t="s">
        <v>375</v>
      </c>
      <c r="B57" s="6" t="s">
        <v>357</v>
      </c>
      <c r="C57" s="6" t="s">
        <v>376</v>
      </c>
      <c r="D57" s="6" t="s">
        <v>754</v>
      </c>
      <c r="E57" s="6" t="s">
        <v>755</v>
      </c>
      <c r="F57" s="6" t="s">
        <v>606</v>
      </c>
      <c r="G57" s="6" t="s">
        <v>69</v>
      </c>
      <c r="H57" s="13" t="s">
        <v>756</v>
      </c>
      <c r="I57" s="14">
        <v>35</v>
      </c>
      <c r="J57" s="14">
        <v>70</v>
      </c>
    </row>
    <row r="58" spans="1:10" ht="52.5" customHeight="1" x14ac:dyDescent="0.25">
      <c r="A58" s="6" t="s">
        <v>375</v>
      </c>
      <c r="B58" s="6" t="s">
        <v>357</v>
      </c>
      <c r="C58" s="6" t="s">
        <v>376</v>
      </c>
      <c r="D58" s="6" t="s">
        <v>757</v>
      </c>
      <c r="E58" s="6" t="s">
        <v>758</v>
      </c>
      <c r="F58" s="6" t="s">
        <v>606</v>
      </c>
      <c r="G58" s="6" t="s">
        <v>69</v>
      </c>
      <c r="H58" s="13" t="s">
        <v>759</v>
      </c>
      <c r="I58" s="14">
        <v>27</v>
      </c>
      <c r="J58" s="14">
        <v>54</v>
      </c>
    </row>
    <row r="59" spans="1:10" ht="52.5" customHeight="1" x14ac:dyDescent="0.25">
      <c r="A59" s="6" t="s">
        <v>375</v>
      </c>
      <c r="B59" s="6" t="s">
        <v>357</v>
      </c>
      <c r="C59" s="6" t="s">
        <v>376</v>
      </c>
      <c r="D59" s="6" t="s">
        <v>760</v>
      </c>
      <c r="E59" s="6" t="s">
        <v>761</v>
      </c>
      <c r="F59" s="6" t="s">
        <v>606</v>
      </c>
      <c r="G59" s="6" t="s">
        <v>69</v>
      </c>
      <c r="H59" s="13" t="s">
        <v>762</v>
      </c>
      <c r="I59" s="14">
        <v>40</v>
      </c>
      <c r="J59" s="14">
        <v>80</v>
      </c>
    </row>
    <row r="60" spans="1:10" ht="52.5" customHeight="1" x14ac:dyDescent="0.25">
      <c r="A60" s="6" t="s">
        <v>383</v>
      </c>
      <c r="B60" s="6" t="s">
        <v>357</v>
      </c>
      <c r="C60" s="6" t="s">
        <v>384</v>
      </c>
      <c r="D60" s="6" t="s">
        <v>763</v>
      </c>
      <c r="E60" s="6" t="s">
        <v>685</v>
      </c>
      <c r="F60" s="6" t="s">
        <v>606</v>
      </c>
      <c r="G60" s="6" t="s">
        <v>69</v>
      </c>
      <c r="H60" s="13" t="s">
        <v>764</v>
      </c>
      <c r="I60" s="14">
        <v>2</v>
      </c>
      <c r="J60" s="14">
        <v>8</v>
      </c>
    </row>
    <row r="61" spans="1:10" ht="40.5" customHeight="1" x14ac:dyDescent="0.25">
      <c r="A61" s="6" t="s">
        <v>383</v>
      </c>
      <c r="B61" s="6" t="s">
        <v>357</v>
      </c>
      <c r="C61" s="6" t="s">
        <v>384</v>
      </c>
      <c r="D61" s="6" t="s">
        <v>765</v>
      </c>
      <c r="E61" s="6" t="s">
        <v>766</v>
      </c>
      <c r="F61" s="6" t="s">
        <v>606</v>
      </c>
      <c r="G61" s="6" t="s">
        <v>69</v>
      </c>
      <c r="H61" s="13" t="s">
        <v>767</v>
      </c>
      <c r="I61" s="14">
        <v>2</v>
      </c>
      <c r="J61" s="14">
        <v>10</v>
      </c>
    </row>
    <row r="62" spans="1:10" ht="40.5" customHeight="1" x14ac:dyDescent="0.25">
      <c r="A62" s="6" t="s">
        <v>383</v>
      </c>
      <c r="B62" s="6" t="s">
        <v>357</v>
      </c>
      <c r="C62" s="6" t="s">
        <v>384</v>
      </c>
      <c r="D62" s="6" t="s">
        <v>754</v>
      </c>
      <c r="E62" s="6" t="s">
        <v>755</v>
      </c>
      <c r="F62" s="6" t="s">
        <v>606</v>
      </c>
      <c r="G62" s="6" t="s">
        <v>69</v>
      </c>
      <c r="H62" s="13" t="s">
        <v>768</v>
      </c>
      <c r="I62" s="14">
        <v>3</v>
      </c>
      <c r="J62" s="14">
        <v>10</v>
      </c>
    </row>
    <row r="63" spans="1:10" ht="52.5" customHeight="1" x14ac:dyDescent="0.25">
      <c r="A63" s="6" t="s">
        <v>391</v>
      </c>
      <c r="B63" s="6" t="s">
        <v>392</v>
      </c>
      <c r="C63" s="6" t="s">
        <v>394</v>
      </c>
      <c r="D63" s="6" t="s">
        <v>769</v>
      </c>
      <c r="E63" s="6" t="s">
        <v>770</v>
      </c>
      <c r="F63" s="6" t="s">
        <v>606</v>
      </c>
      <c r="G63" s="6" t="s">
        <v>69</v>
      </c>
      <c r="H63" s="13" t="s">
        <v>771</v>
      </c>
      <c r="I63" s="14">
        <v>1583</v>
      </c>
      <c r="J63" s="14">
        <v>1632</v>
      </c>
    </row>
    <row r="64" spans="1:10" ht="52.5" customHeight="1" x14ac:dyDescent="0.25">
      <c r="A64" s="6" t="s">
        <v>391</v>
      </c>
      <c r="B64" s="6" t="s">
        <v>392</v>
      </c>
      <c r="C64" s="6" t="s">
        <v>394</v>
      </c>
      <c r="D64" s="6" t="s">
        <v>772</v>
      </c>
      <c r="E64" s="6" t="s">
        <v>773</v>
      </c>
      <c r="F64" s="6" t="s">
        <v>606</v>
      </c>
      <c r="G64" s="6" t="s">
        <v>69</v>
      </c>
      <c r="H64" s="13" t="s">
        <v>774</v>
      </c>
      <c r="I64" s="14">
        <v>739</v>
      </c>
      <c r="J64" s="14">
        <v>762</v>
      </c>
    </row>
    <row r="65" spans="1:10" ht="52.5" customHeight="1" x14ac:dyDescent="0.25">
      <c r="A65" s="6" t="s">
        <v>391</v>
      </c>
      <c r="B65" s="6" t="s">
        <v>392</v>
      </c>
      <c r="C65" s="6" t="s">
        <v>394</v>
      </c>
      <c r="D65" s="6" t="s">
        <v>775</v>
      </c>
      <c r="E65" s="6" t="s">
        <v>776</v>
      </c>
      <c r="F65" s="6" t="s">
        <v>606</v>
      </c>
      <c r="G65" s="6" t="s">
        <v>69</v>
      </c>
      <c r="H65" s="13" t="s">
        <v>777</v>
      </c>
      <c r="I65" s="14">
        <v>879</v>
      </c>
      <c r="J65" s="14">
        <v>906</v>
      </c>
    </row>
    <row r="66" spans="1:10" ht="52.5" customHeight="1" x14ac:dyDescent="0.25">
      <c r="A66" s="6" t="s">
        <v>402</v>
      </c>
      <c r="B66" s="6" t="s">
        <v>392</v>
      </c>
      <c r="C66" s="6" t="s">
        <v>403</v>
      </c>
      <c r="D66" s="6" t="s">
        <v>769</v>
      </c>
      <c r="E66" s="6" t="s">
        <v>770</v>
      </c>
      <c r="F66" s="6" t="s">
        <v>606</v>
      </c>
      <c r="G66" s="6" t="s">
        <v>69</v>
      </c>
      <c r="H66" s="13" t="s">
        <v>778</v>
      </c>
      <c r="I66" s="14">
        <v>55</v>
      </c>
      <c r="J66" s="14">
        <v>66</v>
      </c>
    </row>
    <row r="67" spans="1:10" ht="52.5" customHeight="1" x14ac:dyDescent="0.25">
      <c r="A67" s="6" t="s">
        <v>402</v>
      </c>
      <c r="B67" s="6" t="s">
        <v>392</v>
      </c>
      <c r="C67" s="6" t="s">
        <v>403</v>
      </c>
      <c r="D67" s="6" t="s">
        <v>775</v>
      </c>
      <c r="E67" s="6" t="s">
        <v>776</v>
      </c>
      <c r="F67" s="6" t="s">
        <v>606</v>
      </c>
      <c r="G67" s="6" t="s">
        <v>69</v>
      </c>
      <c r="H67" s="13" t="s">
        <v>779</v>
      </c>
      <c r="I67" s="14">
        <v>34</v>
      </c>
      <c r="J67" s="14">
        <v>41</v>
      </c>
    </row>
    <row r="68" spans="1:10" ht="52.5" customHeight="1" x14ac:dyDescent="0.25">
      <c r="A68" s="6" t="s">
        <v>402</v>
      </c>
      <c r="B68" s="6" t="s">
        <v>392</v>
      </c>
      <c r="C68" s="6" t="s">
        <v>403</v>
      </c>
      <c r="D68" s="6" t="s">
        <v>772</v>
      </c>
      <c r="E68" s="6" t="s">
        <v>773</v>
      </c>
      <c r="F68" s="6" t="s">
        <v>606</v>
      </c>
      <c r="G68" s="6" t="s">
        <v>69</v>
      </c>
      <c r="H68" s="13" t="s">
        <v>780</v>
      </c>
      <c r="I68" s="14">
        <v>58</v>
      </c>
      <c r="J68" s="14">
        <v>68</v>
      </c>
    </row>
    <row r="69" spans="1:10" ht="52.5" customHeight="1" x14ac:dyDescent="0.25">
      <c r="A69" s="6" t="s">
        <v>410</v>
      </c>
      <c r="B69" s="6" t="s">
        <v>392</v>
      </c>
      <c r="C69" s="6" t="s">
        <v>411</v>
      </c>
      <c r="D69" s="6" t="s">
        <v>781</v>
      </c>
      <c r="E69" s="6" t="s">
        <v>782</v>
      </c>
      <c r="F69" s="6" t="s">
        <v>606</v>
      </c>
      <c r="G69" s="6" t="s">
        <v>69</v>
      </c>
      <c r="H69" s="13" t="s">
        <v>783</v>
      </c>
      <c r="I69" s="14">
        <v>652</v>
      </c>
      <c r="J69" s="14">
        <v>1018</v>
      </c>
    </row>
    <row r="70" spans="1:10" ht="52.5" customHeight="1" x14ac:dyDescent="0.25">
      <c r="A70" s="6" t="s">
        <v>410</v>
      </c>
      <c r="B70" s="6" t="s">
        <v>392</v>
      </c>
      <c r="C70" s="6" t="s">
        <v>411</v>
      </c>
      <c r="D70" s="6" t="s">
        <v>784</v>
      </c>
      <c r="E70" s="6" t="s">
        <v>785</v>
      </c>
      <c r="F70" s="6" t="s">
        <v>606</v>
      </c>
      <c r="G70" s="6" t="s">
        <v>69</v>
      </c>
      <c r="H70" s="13" t="s">
        <v>786</v>
      </c>
      <c r="I70" s="14">
        <v>340</v>
      </c>
      <c r="J70" s="14">
        <v>532</v>
      </c>
    </row>
    <row r="71" spans="1:10" ht="52.5" customHeight="1" x14ac:dyDescent="0.25">
      <c r="A71" s="6" t="s">
        <v>418</v>
      </c>
      <c r="B71" s="6" t="s">
        <v>392</v>
      </c>
      <c r="C71" s="6" t="s">
        <v>419</v>
      </c>
      <c r="D71" s="6" t="s">
        <v>775</v>
      </c>
      <c r="E71" s="6" t="s">
        <v>776</v>
      </c>
      <c r="F71" s="6" t="s">
        <v>606</v>
      </c>
      <c r="G71" s="6" t="s">
        <v>69</v>
      </c>
      <c r="H71" s="13" t="s">
        <v>787</v>
      </c>
      <c r="I71" s="14">
        <v>91</v>
      </c>
      <c r="J71" s="14">
        <v>121</v>
      </c>
    </row>
    <row r="72" spans="1:10" ht="40.5" customHeight="1" x14ac:dyDescent="0.25">
      <c r="A72" s="6" t="s">
        <v>418</v>
      </c>
      <c r="B72" s="6" t="s">
        <v>392</v>
      </c>
      <c r="C72" s="6" t="s">
        <v>419</v>
      </c>
      <c r="D72" s="6" t="s">
        <v>788</v>
      </c>
      <c r="E72" s="6" t="s">
        <v>789</v>
      </c>
      <c r="F72" s="6" t="s">
        <v>606</v>
      </c>
      <c r="G72" s="6" t="s">
        <v>69</v>
      </c>
      <c r="H72" s="13" t="s">
        <v>790</v>
      </c>
      <c r="I72" s="14">
        <v>108</v>
      </c>
      <c r="J72" s="14">
        <v>144</v>
      </c>
    </row>
    <row r="73" spans="1:10" ht="40.5" customHeight="1" x14ac:dyDescent="0.25">
      <c r="A73" s="6" t="s">
        <v>418</v>
      </c>
      <c r="B73" s="6" t="s">
        <v>392</v>
      </c>
      <c r="C73" s="6" t="s">
        <v>419</v>
      </c>
      <c r="D73" s="6" t="s">
        <v>702</v>
      </c>
      <c r="E73" s="6" t="s">
        <v>703</v>
      </c>
      <c r="F73" s="6" t="s">
        <v>606</v>
      </c>
      <c r="G73" s="6" t="s">
        <v>69</v>
      </c>
      <c r="H73" s="13" t="s">
        <v>791</v>
      </c>
      <c r="I73" s="14">
        <v>176</v>
      </c>
      <c r="J73" s="14">
        <v>235</v>
      </c>
    </row>
    <row r="74" spans="1:10" ht="40.5" customHeight="1" x14ac:dyDescent="0.25">
      <c r="A74" s="6" t="s">
        <v>427</v>
      </c>
      <c r="B74" s="6" t="s">
        <v>428</v>
      </c>
      <c r="C74" s="6" t="s">
        <v>430</v>
      </c>
      <c r="D74" s="6" t="s">
        <v>792</v>
      </c>
      <c r="E74" s="6" t="s">
        <v>793</v>
      </c>
      <c r="F74" s="6" t="s">
        <v>606</v>
      </c>
      <c r="G74" s="6" t="s">
        <v>69</v>
      </c>
      <c r="H74" s="13" t="s">
        <v>794</v>
      </c>
      <c r="I74" s="14">
        <v>40</v>
      </c>
      <c r="J74" s="14">
        <v>57</v>
      </c>
    </row>
    <row r="75" spans="1:10" ht="40.5" customHeight="1" x14ac:dyDescent="0.25">
      <c r="A75" s="6" t="s">
        <v>427</v>
      </c>
      <c r="B75" s="6" t="s">
        <v>428</v>
      </c>
      <c r="C75" s="6" t="s">
        <v>430</v>
      </c>
      <c r="D75" s="6" t="s">
        <v>795</v>
      </c>
      <c r="E75" s="6" t="s">
        <v>796</v>
      </c>
      <c r="F75" s="6" t="s">
        <v>606</v>
      </c>
      <c r="G75" s="6" t="s">
        <v>69</v>
      </c>
      <c r="H75" s="13" t="s">
        <v>797</v>
      </c>
      <c r="I75" s="14">
        <v>30</v>
      </c>
      <c r="J75" s="14">
        <v>43</v>
      </c>
    </row>
    <row r="76" spans="1:10" ht="52.5" customHeight="1" x14ac:dyDescent="0.25">
      <c r="A76" s="6" t="s">
        <v>438</v>
      </c>
      <c r="B76" s="6" t="s">
        <v>428</v>
      </c>
      <c r="C76" s="6" t="s">
        <v>439</v>
      </c>
      <c r="D76" s="6" t="s">
        <v>798</v>
      </c>
      <c r="E76" s="6" t="s">
        <v>793</v>
      </c>
      <c r="F76" s="6" t="s">
        <v>606</v>
      </c>
      <c r="G76" s="6" t="s">
        <v>69</v>
      </c>
      <c r="H76" s="13" t="s">
        <v>799</v>
      </c>
      <c r="I76" s="14">
        <v>498</v>
      </c>
      <c r="J76" s="14">
        <v>923</v>
      </c>
    </row>
    <row r="77" spans="1:10" ht="52.5" customHeight="1" x14ac:dyDescent="0.25">
      <c r="A77" s="6" t="s">
        <v>438</v>
      </c>
      <c r="B77" s="6" t="s">
        <v>428</v>
      </c>
      <c r="C77" s="6" t="s">
        <v>439</v>
      </c>
      <c r="D77" s="6" t="s">
        <v>800</v>
      </c>
      <c r="E77" s="6" t="s">
        <v>801</v>
      </c>
      <c r="F77" s="6" t="s">
        <v>606</v>
      </c>
      <c r="G77" s="6" t="s">
        <v>69</v>
      </c>
      <c r="H77" s="13" t="s">
        <v>802</v>
      </c>
      <c r="I77" s="14">
        <v>1176</v>
      </c>
      <c r="J77" s="14">
        <v>2177</v>
      </c>
    </row>
    <row r="78" spans="1:10" ht="52.5" customHeight="1" x14ac:dyDescent="0.25">
      <c r="A78" s="6" t="s">
        <v>446</v>
      </c>
      <c r="B78" s="6" t="s">
        <v>428</v>
      </c>
      <c r="C78" s="6" t="s">
        <v>447</v>
      </c>
      <c r="D78" s="6" t="s">
        <v>803</v>
      </c>
      <c r="E78" s="6" t="s">
        <v>804</v>
      </c>
      <c r="F78" s="6" t="s">
        <v>606</v>
      </c>
      <c r="G78" s="6" t="s">
        <v>69</v>
      </c>
      <c r="H78" s="13" t="s">
        <v>805</v>
      </c>
      <c r="I78" s="14">
        <v>26</v>
      </c>
      <c r="J78" s="14">
        <v>68</v>
      </c>
    </row>
    <row r="79" spans="1:10" ht="52.5" customHeight="1" x14ac:dyDescent="0.25">
      <c r="A79" s="6" t="s">
        <v>446</v>
      </c>
      <c r="B79" s="6" t="s">
        <v>428</v>
      </c>
      <c r="C79" s="6" t="s">
        <v>447</v>
      </c>
      <c r="D79" s="6" t="s">
        <v>806</v>
      </c>
      <c r="E79" s="6" t="s">
        <v>807</v>
      </c>
      <c r="F79" s="6" t="s">
        <v>606</v>
      </c>
      <c r="G79" s="6" t="s">
        <v>69</v>
      </c>
      <c r="H79" s="13" t="s">
        <v>808</v>
      </c>
      <c r="I79" s="14">
        <v>30</v>
      </c>
      <c r="J79" s="14">
        <v>79</v>
      </c>
    </row>
    <row r="80" spans="1:10" ht="52.5" customHeight="1" x14ac:dyDescent="0.25">
      <c r="A80" s="6" t="s">
        <v>446</v>
      </c>
      <c r="B80" s="6" t="s">
        <v>428</v>
      </c>
      <c r="C80" s="6" t="s">
        <v>447</v>
      </c>
      <c r="D80" s="6" t="s">
        <v>809</v>
      </c>
      <c r="E80" s="6" t="s">
        <v>810</v>
      </c>
      <c r="F80" s="6" t="s">
        <v>606</v>
      </c>
      <c r="G80" s="6" t="s">
        <v>69</v>
      </c>
      <c r="H80" s="13" t="s">
        <v>811</v>
      </c>
      <c r="I80" s="14">
        <v>20</v>
      </c>
      <c r="J80" s="14">
        <v>53</v>
      </c>
    </row>
    <row r="81" spans="1:10" ht="52.5" customHeight="1" x14ac:dyDescent="0.25">
      <c r="A81" s="6" t="s">
        <v>454</v>
      </c>
      <c r="B81" s="6" t="s">
        <v>428</v>
      </c>
      <c r="C81" s="6" t="s">
        <v>455</v>
      </c>
      <c r="D81" s="6" t="s">
        <v>812</v>
      </c>
      <c r="E81" s="6" t="s">
        <v>813</v>
      </c>
      <c r="F81" s="6" t="s">
        <v>606</v>
      </c>
      <c r="G81" s="6" t="s">
        <v>69</v>
      </c>
      <c r="H81" s="13" t="s">
        <v>814</v>
      </c>
      <c r="I81" s="14">
        <v>63</v>
      </c>
      <c r="J81" s="14">
        <v>69</v>
      </c>
    </row>
    <row r="82" spans="1:10" ht="52.5" customHeight="1" x14ac:dyDescent="0.25">
      <c r="A82" s="6" t="s">
        <v>454</v>
      </c>
      <c r="B82" s="6" t="s">
        <v>428</v>
      </c>
      <c r="C82" s="6" t="s">
        <v>455</v>
      </c>
      <c r="D82" s="6" t="s">
        <v>815</v>
      </c>
      <c r="E82" s="6" t="s">
        <v>816</v>
      </c>
      <c r="F82" s="6" t="s">
        <v>606</v>
      </c>
      <c r="G82" s="6" t="s">
        <v>69</v>
      </c>
      <c r="H82" s="13" t="s">
        <v>817</v>
      </c>
      <c r="I82" s="14">
        <v>98</v>
      </c>
      <c r="J82" s="14">
        <v>106</v>
      </c>
    </row>
    <row r="83" spans="1:10" ht="52.5" customHeight="1" x14ac:dyDescent="0.25">
      <c r="A83" s="6" t="s">
        <v>462</v>
      </c>
      <c r="B83" s="6" t="s">
        <v>463</v>
      </c>
      <c r="C83" s="6" t="s">
        <v>465</v>
      </c>
      <c r="D83" s="6" t="s">
        <v>684</v>
      </c>
      <c r="E83" s="6" t="s">
        <v>685</v>
      </c>
      <c r="F83" s="6" t="s">
        <v>606</v>
      </c>
      <c r="G83" s="6" t="s">
        <v>69</v>
      </c>
      <c r="H83" s="13" t="s">
        <v>818</v>
      </c>
      <c r="I83" s="14">
        <v>43</v>
      </c>
      <c r="J83" s="14">
        <v>48</v>
      </c>
    </row>
    <row r="84" spans="1:10" ht="40.5" customHeight="1" x14ac:dyDescent="0.25">
      <c r="A84" s="6" t="s">
        <v>462</v>
      </c>
      <c r="B84" s="6" t="s">
        <v>463</v>
      </c>
      <c r="C84" s="6" t="s">
        <v>465</v>
      </c>
      <c r="D84" s="6" t="s">
        <v>687</v>
      </c>
      <c r="E84" s="6" t="s">
        <v>688</v>
      </c>
      <c r="F84" s="6" t="s">
        <v>606</v>
      </c>
      <c r="G84" s="6" t="s">
        <v>69</v>
      </c>
      <c r="H84" s="13" t="s">
        <v>819</v>
      </c>
      <c r="I84" s="14">
        <v>22</v>
      </c>
      <c r="J84" s="14">
        <v>24</v>
      </c>
    </row>
    <row r="85" spans="1:10" ht="40.5" customHeight="1" x14ac:dyDescent="0.25">
      <c r="A85" s="6" t="s">
        <v>462</v>
      </c>
      <c r="B85" s="6" t="s">
        <v>463</v>
      </c>
      <c r="C85" s="6" t="s">
        <v>465</v>
      </c>
      <c r="D85" s="6" t="s">
        <v>690</v>
      </c>
      <c r="E85" s="6" t="s">
        <v>691</v>
      </c>
      <c r="F85" s="6" t="s">
        <v>606</v>
      </c>
      <c r="G85" s="6" t="s">
        <v>69</v>
      </c>
      <c r="H85" s="13" t="s">
        <v>820</v>
      </c>
      <c r="I85" s="14">
        <v>52</v>
      </c>
      <c r="J85" s="14">
        <v>58</v>
      </c>
    </row>
    <row r="86" spans="1:10" ht="52.5" customHeight="1" x14ac:dyDescent="0.25">
      <c r="A86" s="6" t="s">
        <v>472</v>
      </c>
      <c r="B86" s="6" t="s">
        <v>463</v>
      </c>
      <c r="C86" s="6" t="s">
        <v>473</v>
      </c>
      <c r="D86" s="6" t="s">
        <v>625</v>
      </c>
      <c r="E86" s="6" t="s">
        <v>626</v>
      </c>
      <c r="F86" s="6" t="s">
        <v>606</v>
      </c>
      <c r="G86" s="6" t="s">
        <v>69</v>
      </c>
      <c r="H86" s="13" t="s">
        <v>821</v>
      </c>
      <c r="I86" s="14">
        <v>27</v>
      </c>
      <c r="J86" s="14">
        <v>32</v>
      </c>
    </row>
    <row r="87" spans="1:10" ht="52.5" customHeight="1" x14ac:dyDescent="0.25">
      <c r="A87" s="6" t="s">
        <v>472</v>
      </c>
      <c r="B87" s="6" t="s">
        <v>463</v>
      </c>
      <c r="C87" s="6" t="s">
        <v>473</v>
      </c>
      <c r="D87" s="6" t="s">
        <v>604</v>
      </c>
      <c r="E87" s="6" t="s">
        <v>605</v>
      </c>
      <c r="F87" s="6" t="s">
        <v>606</v>
      </c>
      <c r="G87" s="6" t="s">
        <v>69</v>
      </c>
      <c r="H87" s="13" t="s">
        <v>822</v>
      </c>
      <c r="I87" s="14">
        <v>24</v>
      </c>
      <c r="J87" s="14">
        <v>28</v>
      </c>
    </row>
    <row r="88" spans="1:10" ht="52.5" customHeight="1" x14ac:dyDescent="0.25">
      <c r="A88" s="6" t="s">
        <v>480</v>
      </c>
      <c r="B88" s="6" t="s">
        <v>463</v>
      </c>
      <c r="C88" s="6" t="s">
        <v>481</v>
      </c>
      <c r="D88" s="6" t="s">
        <v>823</v>
      </c>
      <c r="E88" s="6" t="s">
        <v>824</v>
      </c>
      <c r="F88" s="6" t="s">
        <v>606</v>
      </c>
      <c r="G88" s="6" t="s">
        <v>85</v>
      </c>
      <c r="H88" s="13" t="s">
        <v>825</v>
      </c>
      <c r="I88" s="14">
        <v>6</v>
      </c>
      <c r="J88" s="14">
        <v>7</v>
      </c>
    </row>
    <row r="89" spans="1:10" ht="52.5" customHeight="1" x14ac:dyDescent="0.25">
      <c r="A89" s="6" t="s">
        <v>480</v>
      </c>
      <c r="B89" s="6" t="s">
        <v>463</v>
      </c>
      <c r="C89" s="6" t="s">
        <v>481</v>
      </c>
      <c r="D89" s="6" t="s">
        <v>826</v>
      </c>
      <c r="E89" s="6" t="s">
        <v>827</v>
      </c>
      <c r="F89" s="6" t="s">
        <v>606</v>
      </c>
      <c r="G89" s="6" t="s">
        <v>85</v>
      </c>
      <c r="H89" s="13" t="s">
        <v>828</v>
      </c>
      <c r="I89" s="14">
        <v>9</v>
      </c>
      <c r="J89" s="14">
        <v>11</v>
      </c>
    </row>
    <row r="90" spans="1:10" ht="52.5" customHeight="1" x14ac:dyDescent="0.25">
      <c r="A90" s="6" t="s">
        <v>480</v>
      </c>
      <c r="B90" s="6" t="s">
        <v>463</v>
      </c>
      <c r="C90" s="6" t="s">
        <v>481</v>
      </c>
      <c r="D90" s="6" t="s">
        <v>829</v>
      </c>
      <c r="E90" s="6" t="s">
        <v>830</v>
      </c>
      <c r="F90" s="6" t="s">
        <v>606</v>
      </c>
      <c r="G90" s="6" t="s">
        <v>85</v>
      </c>
      <c r="H90" s="13" t="s">
        <v>831</v>
      </c>
      <c r="I90" s="14">
        <v>5</v>
      </c>
      <c r="J90" s="14">
        <v>7</v>
      </c>
    </row>
    <row r="91" spans="1:10" ht="52.5" customHeight="1" x14ac:dyDescent="0.25">
      <c r="A91" s="6" t="s">
        <v>488</v>
      </c>
      <c r="B91" s="6" t="s">
        <v>463</v>
      </c>
      <c r="C91" s="6" t="s">
        <v>489</v>
      </c>
      <c r="D91" s="6" t="s">
        <v>763</v>
      </c>
      <c r="E91" s="6" t="s">
        <v>685</v>
      </c>
      <c r="F91" s="6" t="s">
        <v>606</v>
      </c>
      <c r="G91" s="6" t="s">
        <v>69</v>
      </c>
      <c r="H91" s="13" t="s">
        <v>832</v>
      </c>
      <c r="I91" s="14">
        <v>7</v>
      </c>
      <c r="J91" s="14">
        <v>12</v>
      </c>
    </row>
    <row r="92" spans="1:10" ht="52.5" customHeight="1" x14ac:dyDescent="0.25">
      <c r="A92" s="6" t="s">
        <v>488</v>
      </c>
      <c r="B92" s="6" t="s">
        <v>463</v>
      </c>
      <c r="C92" s="6" t="s">
        <v>489</v>
      </c>
      <c r="D92" s="6" t="s">
        <v>687</v>
      </c>
      <c r="E92" s="6" t="s">
        <v>688</v>
      </c>
      <c r="F92" s="6" t="s">
        <v>606</v>
      </c>
      <c r="G92" s="6" t="s">
        <v>69</v>
      </c>
      <c r="H92" s="13" t="s">
        <v>833</v>
      </c>
      <c r="I92" s="14">
        <v>14</v>
      </c>
      <c r="J92" s="14">
        <v>23</v>
      </c>
    </row>
    <row r="93" spans="1:10" ht="52.5" customHeight="1" x14ac:dyDescent="0.25">
      <c r="A93" s="6" t="s">
        <v>497</v>
      </c>
      <c r="B93" s="6" t="s">
        <v>498</v>
      </c>
      <c r="C93" s="6" t="s">
        <v>500</v>
      </c>
      <c r="D93" s="6" t="s">
        <v>675</v>
      </c>
      <c r="E93" s="6" t="s">
        <v>676</v>
      </c>
      <c r="F93" s="6" t="s">
        <v>606</v>
      </c>
      <c r="G93" s="6" t="s">
        <v>85</v>
      </c>
      <c r="H93" s="13" t="s">
        <v>834</v>
      </c>
      <c r="I93" s="14">
        <v>12</v>
      </c>
      <c r="J93" s="14">
        <v>30</v>
      </c>
    </row>
    <row r="94" spans="1:10" ht="40.5" customHeight="1" x14ac:dyDescent="0.25">
      <c r="A94" s="6" t="s">
        <v>497</v>
      </c>
      <c r="B94" s="6" t="s">
        <v>498</v>
      </c>
      <c r="C94" s="6" t="s">
        <v>500</v>
      </c>
      <c r="D94" s="6" t="s">
        <v>678</v>
      </c>
      <c r="E94" s="6" t="s">
        <v>679</v>
      </c>
      <c r="F94" s="6" t="s">
        <v>606</v>
      </c>
      <c r="G94" s="6" t="s">
        <v>85</v>
      </c>
      <c r="H94" s="13" t="s">
        <v>835</v>
      </c>
      <c r="I94" s="14">
        <v>18</v>
      </c>
      <c r="J94" s="14">
        <v>44</v>
      </c>
    </row>
    <row r="95" spans="1:10" ht="52.5" customHeight="1" x14ac:dyDescent="0.25">
      <c r="A95" s="6" t="s">
        <v>497</v>
      </c>
      <c r="B95" s="6" t="s">
        <v>498</v>
      </c>
      <c r="C95" s="6" t="s">
        <v>500</v>
      </c>
      <c r="D95" s="6" t="s">
        <v>836</v>
      </c>
      <c r="E95" s="6" t="s">
        <v>682</v>
      </c>
      <c r="F95" s="6" t="s">
        <v>606</v>
      </c>
      <c r="G95" s="6" t="s">
        <v>85</v>
      </c>
      <c r="H95" s="13" t="s">
        <v>837</v>
      </c>
      <c r="I95" s="14">
        <v>16</v>
      </c>
      <c r="J95" s="14">
        <v>41</v>
      </c>
    </row>
    <row r="96" spans="1:10" ht="52.5" customHeight="1" x14ac:dyDescent="0.25">
      <c r="A96" s="6" t="s">
        <v>508</v>
      </c>
      <c r="B96" s="6" t="s">
        <v>498</v>
      </c>
      <c r="C96" s="6" t="s">
        <v>509</v>
      </c>
      <c r="D96" s="6" t="s">
        <v>751</v>
      </c>
      <c r="E96" s="6" t="s">
        <v>752</v>
      </c>
      <c r="F96" s="6" t="s">
        <v>606</v>
      </c>
      <c r="G96" s="6" t="s">
        <v>85</v>
      </c>
      <c r="H96" s="13" t="s">
        <v>838</v>
      </c>
      <c r="I96" s="14">
        <v>33</v>
      </c>
      <c r="J96" s="14">
        <v>110</v>
      </c>
    </row>
    <row r="97" spans="1:10" ht="52.5" customHeight="1" x14ac:dyDescent="0.25">
      <c r="A97" s="6" t="s">
        <v>508</v>
      </c>
      <c r="B97" s="6" t="s">
        <v>498</v>
      </c>
      <c r="C97" s="6" t="s">
        <v>509</v>
      </c>
      <c r="D97" s="6" t="s">
        <v>839</v>
      </c>
      <c r="E97" s="6" t="s">
        <v>840</v>
      </c>
      <c r="F97" s="6" t="s">
        <v>606</v>
      </c>
      <c r="G97" s="6" t="s">
        <v>85</v>
      </c>
      <c r="H97" s="13" t="s">
        <v>841</v>
      </c>
      <c r="I97" s="14">
        <v>14</v>
      </c>
      <c r="J97" s="14">
        <v>48</v>
      </c>
    </row>
    <row r="98" spans="1:10" ht="52.5" customHeight="1" x14ac:dyDescent="0.25">
      <c r="A98" s="6" t="s">
        <v>508</v>
      </c>
      <c r="B98" s="6" t="s">
        <v>498</v>
      </c>
      <c r="C98" s="6" t="s">
        <v>509</v>
      </c>
      <c r="D98" s="6" t="s">
        <v>842</v>
      </c>
      <c r="E98" s="6" t="s">
        <v>843</v>
      </c>
      <c r="F98" s="6" t="s">
        <v>606</v>
      </c>
      <c r="G98" s="6" t="s">
        <v>85</v>
      </c>
      <c r="H98" s="13" t="s">
        <v>844</v>
      </c>
      <c r="I98" s="14">
        <v>22</v>
      </c>
      <c r="J98" s="14">
        <v>72</v>
      </c>
    </row>
    <row r="99" spans="1:10" ht="52.5" customHeight="1" x14ac:dyDescent="0.25">
      <c r="A99" s="6" t="s">
        <v>516</v>
      </c>
      <c r="B99" s="6" t="s">
        <v>498</v>
      </c>
      <c r="C99" s="6" t="s">
        <v>359</v>
      </c>
      <c r="D99" s="6" t="s">
        <v>845</v>
      </c>
      <c r="E99" s="6" t="s">
        <v>741</v>
      </c>
      <c r="F99" s="6" t="s">
        <v>606</v>
      </c>
      <c r="G99" s="6" t="s">
        <v>69</v>
      </c>
      <c r="H99" s="13" t="s">
        <v>846</v>
      </c>
      <c r="I99" s="14">
        <v>68</v>
      </c>
      <c r="J99" s="14">
        <v>273</v>
      </c>
    </row>
    <row r="100" spans="1:10" ht="52.5" customHeight="1" x14ac:dyDescent="0.25">
      <c r="A100" s="6" t="s">
        <v>516</v>
      </c>
      <c r="B100" s="6" t="s">
        <v>498</v>
      </c>
      <c r="C100" s="6" t="s">
        <v>359</v>
      </c>
      <c r="D100" s="6" t="s">
        <v>847</v>
      </c>
      <c r="E100" s="6" t="s">
        <v>744</v>
      </c>
      <c r="F100" s="6" t="s">
        <v>606</v>
      </c>
      <c r="G100" s="6" t="s">
        <v>69</v>
      </c>
      <c r="H100" s="13" t="s">
        <v>848</v>
      </c>
      <c r="I100" s="14">
        <v>139</v>
      </c>
      <c r="J100" s="14">
        <v>556</v>
      </c>
    </row>
    <row r="101" spans="1:10" ht="52.5" customHeight="1" x14ac:dyDescent="0.25">
      <c r="A101" s="6" t="s">
        <v>516</v>
      </c>
      <c r="B101" s="6" t="s">
        <v>498</v>
      </c>
      <c r="C101" s="6" t="s">
        <v>359</v>
      </c>
      <c r="D101" s="6" t="s">
        <v>746</v>
      </c>
      <c r="E101" s="6" t="s">
        <v>747</v>
      </c>
      <c r="F101" s="6" t="s">
        <v>606</v>
      </c>
      <c r="G101" s="6" t="s">
        <v>69</v>
      </c>
      <c r="H101" s="13" t="s">
        <v>849</v>
      </c>
      <c r="I101" s="14">
        <v>178</v>
      </c>
      <c r="J101" s="14">
        <v>714</v>
      </c>
    </row>
    <row r="102" spans="1:10" ht="52.5" customHeight="1" x14ac:dyDescent="0.25">
      <c r="A102" s="6" t="s">
        <v>516</v>
      </c>
      <c r="B102" s="6" t="s">
        <v>498</v>
      </c>
      <c r="C102" s="6" t="s">
        <v>359</v>
      </c>
      <c r="D102" s="6" t="s">
        <v>850</v>
      </c>
      <c r="E102" s="6" t="s">
        <v>851</v>
      </c>
      <c r="F102" s="6" t="s">
        <v>606</v>
      </c>
      <c r="G102" s="6" t="s">
        <v>69</v>
      </c>
      <c r="H102" s="13" t="s">
        <v>852</v>
      </c>
      <c r="I102" s="14">
        <v>117</v>
      </c>
      <c r="J102" s="14">
        <v>465</v>
      </c>
    </row>
    <row r="103" spans="1:10" ht="52.5" customHeight="1" x14ac:dyDescent="0.25">
      <c r="A103" s="6" t="s">
        <v>523</v>
      </c>
      <c r="B103" s="6" t="s">
        <v>498</v>
      </c>
      <c r="C103" s="6" t="s">
        <v>524</v>
      </c>
      <c r="D103" s="6" t="s">
        <v>853</v>
      </c>
      <c r="E103" s="6" t="s">
        <v>854</v>
      </c>
      <c r="F103" s="6" t="s">
        <v>606</v>
      </c>
      <c r="G103" s="6" t="s">
        <v>69</v>
      </c>
      <c r="H103" s="13" t="s">
        <v>855</v>
      </c>
      <c r="I103" s="14">
        <v>3</v>
      </c>
      <c r="J103" s="14">
        <v>17</v>
      </c>
    </row>
    <row r="104" spans="1:10" ht="52.5" customHeight="1" x14ac:dyDescent="0.25">
      <c r="A104" s="6" t="s">
        <v>523</v>
      </c>
      <c r="B104" s="6" t="s">
        <v>498</v>
      </c>
      <c r="C104" s="6" t="s">
        <v>524</v>
      </c>
      <c r="D104" s="6" t="s">
        <v>856</v>
      </c>
      <c r="E104" s="6" t="s">
        <v>857</v>
      </c>
      <c r="F104" s="6" t="s">
        <v>606</v>
      </c>
      <c r="G104" s="6" t="s">
        <v>69</v>
      </c>
      <c r="H104" s="13" t="s">
        <v>858</v>
      </c>
      <c r="I104" s="14">
        <v>2</v>
      </c>
      <c r="J104" s="14">
        <v>10</v>
      </c>
    </row>
    <row r="105" spans="1:10" ht="52.5" customHeight="1" x14ac:dyDescent="0.25">
      <c r="A105" s="6" t="s">
        <v>523</v>
      </c>
      <c r="B105" s="6" t="s">
        <v>498</v>
      </c>
      <c r="C105" s="6" t="s">
        <v>524</v>
      </c>
      <c r="D105" s="6" t="s">
        <v>859</v>
      </c>
      <c r="E105" s="6" t="s">
        <v>860</v>
      </c>
      <c r="F105" s="6" t="s">
        <v>606</v>
      </c>
      <c r="G105" s="6" t="s">
        <v>69</v>
      </c>
      <c r="H105" s="13" t="s">
        <v>861</v>
      </c>
      <c r="I105" s="14">
        <v>2</v>
      </c>
      <c r="J105" s="14">
        <v>13</v>
      </c>
    </row>
    <row r="106" spans="1:10" ht="40.5" customHeight="1" x14ac:dyDescent="0.25">
      <c r="A106" s="6" t="s">
        <v>523</v>
      </c>
      <c r="B106" s="6" t="s">
        <v>498</v>
      </c>
      <c r="C106" s="6" t="s">
        <v>524</v>
      </c>
      <c r="D106" s="6" t="s">
        <v>862</v>
      </c>
      <c r="E106" s="6" t="s">
        <v>863</v>
      </c>
      <c r="F106" s="6" t="s">
        <v>606</v>
      </c>
      <c r="G106" s="6" t="s">
        <v>69</v>
      </c>
      <c r="H106" s="13" t="s">
        <v>864</v>
      </c>
      <c r="I106" s="14">
        <v>2</v>
      </c>
      <c r="J106" s="14">
        <v>20</v>
      </c>
    </row>
    <row r="107" spans="1:10" ht="52.5" customHeight="1" x14ac:dyDescent="0.25">
      <c r="A107" s="6" t="s">
        <v>531</v>
      </c>
      <c r="B107" s="6" t="s">
        <v>532</v>
      </c>
      <c r="C107" s="6" t="s">
        <v>534</v>
      </c>
      <c r="D107" s="6" t="s">
        <v>604</v>
      </c>
      <c r="E107" s="6" t="s">
        <v>605</v>
      </c>
      <c r="F107" s="6" t="s">
        <v>606</v>
      </c>
      <c r="G107" s="6" t="s">
        <v>69</v>
      </c>
      <c r="H107" s="13" t="s">
        <v>865</v>
      </c>
      <c r="I107" s="14">
        <v>25</v>
      </c>
      <c r="J107" s="14">
        <v>83</v>
      </c>
    </row>
    <row r="108" spans="1:10" ht="52.5" customHeight="1" x14ac:dyDescent="0.25">
      <c r="A108" s="6" t="s">
        <v>531</v>
      </c>
      <c r="B108" s="6" t="s">
        <v>532</v>
      </c>
      <c r="C108" s="6" t="s">
        <v>534</v>
      </c>
      <c r="D108" s="6" t="s">
        <v>866</v>
      </c>
      <c r="E108" s="6" t="s">
        <v>867</v>
      </c>
      <c r="F108" s="6" t="s">
        <v>606</v>
      </c>
      <c r="G108" s="6" t="s">
        <v>69</v>
      </c>
      <c r="H108" s="13" t="s">
        <v>868</v>
      </c>
      <c r="I108" s="14">
        <v>20</v>
      </c>
      <c r="J108" s="14">
        <v>67</v>
      </c>
    </row>
    <row r="109" spans="1:10" ht="40.5" customHeight="1" x14ac:dyDescent="0.25">
      <c r="A109" s="6" t="s">
        <v>542</v>
      </c>
      <c r="B109" s="6" t="s">
        <v>532</v>
      </c>
      <c r="C109" s="6" t="s">
        <v>543</v>
      </c>
      <c r="D109" s="6" t="s">
        <v>614</v>
      </c>
      <c r="E109" s="6" t="s">
        <v>615</v>
      </c>
      <c r="F109" s="6" t="s">
        <v>606</v>
      </c>
      <c r="G109" s="6" t="s">
        <v>77</v>
      </c>
      <c r="H109" s="13" t="s">
        <v>869</v>
      </c>
      <c r="I109" s="14">
        <v>263</v>
      </c>
      <c r="J109" s="14">
        <v>425</v>
      </c>
    </row>
    <row r="110" spans="1:10" ht="40.5" customHeight="1" x14ac:dyDescent="0.25">
      <c r="A110" s="6" t="s">
        <v>542</v>
      </c>
      <c r="B110" s="6" t="s">
        <v>532</v>
      </c>
      <c r="C110" s="6" t="s">
        <v>543</v>
      </c>
      <c r="D110" s="6" t="s">
        <v>870</v>
      </c>
      <c r="E110" s="6" t="s">
        <v>871</v>
      </c>
      <c r="F110" s="6" t="s">
        <v>606</v>
      </c>
      <c r="G110" s="6" t="s">
        <v>77</v>
      </c>
      <c r="H110" s="13" t="s">
        <v>872</v>
      </c>
      <c r="I110" s="14">
        <v>156</v>
      </c>
      <c r="J110" s="14">
        <v>252</v>
      </c>
    </row>
    <row r="111" spans="1:10" ht="40.5" customHeight="1" x14ac:dyDescent="0.25">
      <c r="A111" s="6" t="s">
        <v>542</v>
      </c>
      <c r="B111" s="6" t="s">
        <v>532</v>
      </c>
      <c r="C111" s="6" t="s">
        <v>543</v>
      </c>
      <c r="D111" s="6" t="s">
        <v>873</v>
      </c>
      <c r="E111" s="6" t="s">
        <v>874</v>
      </c>
      <c r="F111" s="6" t="s">
        <v>606</v>
      </c>
      <c r="G111" s="6" t="s">
        <v>77</v>
      </c>
      <c r="H111" s="13" t="s">
        <v>875</v>
      </c>
      <c r="I111" s="14">
        <v>263</v>
      </c>
      <c r="J111" s="14">
        <v>423</v>
      </c>
    </row>
    <row r="112" spans="1:10" ht="52.5" customHeight="1" x14ac:dyDescent="0.25">
      <c r="A112" s="6" t="s">
        <v>550</v>
      </c>
      <c r="B112" s="6" t="s">
        <v>532</v>
      </c>
      <c r="C112" s="6" t="s">
        <v>551</v>
      </c>
      <c r="D112" s="6" t="s">
        <v>876</v>
      </c>
      <c r="E112" s="6" t="s">
        <v>877</v>
      </c>
      <c r="F112" s="6" t="s">
        <v>606</v>
      </c>
      <c r="G112" s="6" t="s">
        <v>69</v>
      </c>
      <c r="H112" s="13" t="s">
        <v>878</v>
      </c>
      <c r="I112" s="14">
        <v>55</v>
      </c>
      <c r="J112" s="14">
        <v>79</v>
      </c>
    </row>
    <row r="113" spans="1:10" ht="52.5" customHeight="1" x14ac:dyDescent="0.25">
      <c r="A113" s="6" t="s">
        <v>550</v>
      </c>
      <c r="B113" s="6" t="s">
        <v>532</v>
      </c>
      <c r="C113" s="6" t="s">
        <v>551</v>
      </c>
      <c r="D113" s="6" t="s">
        <v>879</v>
      </c>
      <c r="E113" s="6" t="s">
        <v>880</v>
      </c>
      <c r="F113" s="6" t="s">
        <v>606</v>
      </c>
      <c r="G113" s="6" t="s">
        <v>69</v>
      </c>
      <c r="H113" s="13" t="s">
        <v>881</v>
      </c>
      <c r="I113" s="14">
        <v>38</v>
      </c>
      <c r="J113" s="14">
        <v>54</v>
      </c>
    </row>
    <row r="114" spans="1:10" ht="52.5" customHeight="1" x14ac:dyDescent="0.25">
      <c r="A114" s="6" t="s">
        <v>550</v>
      </c>
      <c r="B114" s="6" t="s">
        <v>532</v>
      </c>
      <c r="C114" s="6" t="s">
        <v>551</v>
      </c>
      <c r="D114" s="6" t="s">
        <v>882</v>
      </c>
      <c r="E114" s="6" t="s">
        <v>883</v>
      </c>
      <c r="F114" s="6" t="s">
        <v>606</v>
      </c>
      <c r="G114" s="6" t="s">
        <v>69</v>
      </c>
      <c r="H114" s="13" t="s">
        <v>884</v>
      </c>
      <c r="I114" s="14">
        <v>33</v>
      </c>
      <c r="J114" s="14">
        <v>47</v>
      </c>
    </row>
    <row r="115" spans="1:10" ht="52.5" customHeight="1" x14ac:dyDescent="0.25">
      <c r="A115" s="6" t="s">
        <v>557</v>
      </c>
      <c r="B115" s="6" t="s">
        <v>532</v>
      </c>
      <c r="C115" s="6" t="s">
        <v>558</v>
      </c>
      <c r="D115" s="6" t="s">
        <v>885</v>
      </c>
      <c r="E115" s="6" t="s">
        <v>886</v>
      </c>
      <c r="F115" s="6" t="s">
        <v>606</v>
      </c>
      <c r="G115" s="6" t="s">
        <v>69</v>
      </c>
      <c r="H115" s="13" t="s">
        <v>887</v>
      </c>
      <c r="I115" s="14">
        <v>51</v>
      </c>
      <c r="J115" s="14">
        <v>110</v>
      </c>
    </row>
    <row r="116" spans="1:10" ht="52.5" customHeight="1" x14ac:dyDescent="0.25">
      <c r="A116" s="6" t="s">
        <v>557</v>
      </c>
      <c r="B116" s="6" t="s">
        <v>532</v>
      </c>
      <c r="C116" s="6" t="s">
        <v>558</v>
      </c>
      <c r="D116" s="6" t="s">
        <v>888</v>
      </c>
      <c r="E116" s="6" t="s">
        <v>889</v>
      </c>
      <c r="F116" s="6" t="s">
        <v>606</v>
      </c>
      <c r="G116" s="6" t="s">
        <v>69</v>
      </c>
      <c r="H116" s="13" t="s">
        <v>890</v>
      </c>
      <c r="I116" s="14">
        <v>64</v>
      </c>
      <c r="J116" s="14">
        <v>140</v>
      </c>
    </row>
    <row r="117" spans="1:10" ht="52.5" customHeight="1" x14ac:dyDescent="0.25">
      <c r="A117" s="6" t="s">
        <v>565</v>
      </c>
      <c r="B117" s="6" t="s">
        <v>566</v>
      </c>
      <c r="C117" s="6" t="s">
        <v>568</v>
      </c>
      <c r="D117" s="6" t="s">
        <v>684</v>
      </c>
      <c r="E117" s="6" t="s">
        <v>685</v>
      </c>
      <c r="F117" s="6" t="s">
        <v>606</v>
      </c>
      <c r="G117" s="6" t="s">
        <v>69</v>
      </c>
      <c r="H117" s="13" t="s">
        <v>891</v>
      </c>
      <c r="I117" s="14">
        <v>138</v>
      </c>
      <c r="J117" s="14">
        <v>191</v>
      </c>
    </row>
    <row r="118" spans="1:10" ht="40.5" customHeight="1" x14ac:dyDescent="0.25">
      <c r="A118" s="6" t="s">
        <v>565</v>
      </c>
      <c r="B118" s="6" t="s">
        <v>566</v>
      </c>
      <c r="C118" s="6" t="s">
        <v>568</v>
      </c>
      <c r="D118" s="6" t="s">
        <v>687</v>
      </c>
      <c r="E118" s="6" t="s">
        <v>688</v>
      </c>
      <c r="F118" s="6" t="s">
        <v>606</v>
      </c>
      <c r="G118" s="6" t="s">
        <v>69</v>
      </c>
      <c r="H118" s="13" t="s">
        <v>892</v>
      </c>
      <c r="I118" s="14">
        <v>122</v>
      </c>
      <c r="J118" s="14">
        <v>169</v>
      </c>
    </row>
    <row r="119" spans="1:10" ht="52.5" customHeight="1" x14ac:dyDescent="0.25">
      <c r="A119" s="6" t="s">
        <v>565</v>
      </c>
      <c r="B119" s="6" t="s">
        <v>566</v>
      </c>
      <c r="C119" s="6" t="s">
        <v>568</v>
      </c>
      <c r="D119" s="6" t="s">
        <v>690</v>
      </c>
      <c r="E119" s="6" t="s">
        <v>691</v>
      </c>
      <c r="F119" s="6" t="s">
        <v>606</v>
      </c>
      <c r="G119" s="6" t="s">
        <v>69</v>
      </c>
      <c r="H119" s="13" t="s">
        <v>893</v>
      </c>
      <c r="I119" s="14">
        <v>82</v>
      </c>
      <c r="J119" s="14">
        <v>115</v>
      </c>
    </row>
    <row r="120" spans="1:10" ht="40.5" customHeight="1" x14ac:dyDescent="0.25">
      <c r="A120" s="6" t="s">
        <v>574</v>
      </c>
      <c r="B120" s="6" t="s">
        <v>566</v>
      </c>
      <c r="C120" s="6" t="s">
        <v>575</v>
      </c>
      <c r="D120" s="6" t="s">
        <v>769</v>
      </c>
      <c r="E120" s="6" t="s">
        <v>770</v>
      </c>
      <c r="F120" s="6" t="s">
        <v>606</v>
      </c>
      <c r="G120" s="6" t="s">
        <v>69</v>
      </c>
      <c r="H120" s="13" t="s">
        <v>894</v>
      </c>
      <c r="I120" s="14">
        <v>568</v>
      </c>
      <c r="J120" s="14">
        <v>617</v>
      </c>
    </row>
    <row r="121" spans="1:10" ht="40.5" customHeight="1" x14ac:dyDescent="0.25">
      <c r="A121" s="6" t="s">
        <v>574</v>
      </c>
      <c r="B121" s="6" t="s">
        <v>566</v>
      </c>
      <c r="C121" s="6" t="s">
        <v>575</v>
      </c>
      <c r="D121" s="6" t="s">
        <v>895</v>
      </c>
      <c r="E121" s="6" t="s">
        <v>773</v>
      </c>
      <c r="F121" s="6" t="s">
        <v>606</v>
      </c>
      <c r="G121" s="6" t="s">
        <v>69</v>
      </c>
      <c r="H121" s="13" t="s">
        <v>896</v>
      </c>
      <c r="I121" s="14">
        <v>440</v>
      </c>
      <c r="J121" s="14">
        <v>478</v>
      </c>
    </row>
    <row r="122" spans="1:10" ht="40.5" customHeight="1" x14ac:dyDescent="0.25">
      <c r="A122" s="6" t="s">
        <v>574</v>
      </c>
      <c r="B122" s="6" t="s">
        <v>566</v>
      </c>
      <c r="C122" s="6" t="s">
        <v>575</v>
      </c>
      <c r="D122" s="6" t="s">
        <v>775</v>
      </c>
      <c r="E122" s="6" t="s">
        <v>776</v>
      </c>
      <c r="F122" s="6" t="s">
        <v>606</v>
      </c>
      <c r="G122" s="6" t="s">
        <v>69</v>
      </c>
      <c r="H122" s="13" t="s">
        <v>897</v>
      </c>
      <c r="I122" s="14">
        <v>418</v>
      </c>
      <c r="J122" s="14">
        <v>455</v>
      </c>
    </row>
    <row r="123" spans="1:10" ht="40.5" customHeight="1" x14ac:dyDescent="0.25">
      <c r="A123" s="6" t="s">
        <v>582</v>
      </c>
      <c r="B123" s="6" t="s">
        <v>566</v>
      </c>
      <c r="C123" s="6" t="s">
        <v>583</v>
      </c>
      <c r="D123" s="6" t="s">
        <v>898</v>
      </c>
      <c r="E123" s="6" t="s">
        <v>721</v>
      </c>
      <c r="F123" s="6" t="s">
        <v>606</v>
      </c>
      <c r="G123" s="6" t="s">
        <v>69</v>
      </c>
      <c r="H123" s="13" t="s">
        <v>899</v>
      </c>
      <c r="I123" s="14">
        <v>292</v>
      </c>
      <c r="J123" s="14">
        <v>443</v>
      </c>
    </row>
    <row r="124" spans="1:10" ht="40.5" customHeight="1" x14ac:dyDescent="0.25">
      <c r="A124" s="6" t="s">
        <v>582</v>
      </c>
      <c r="B124" s="6" t="s">
        <v>566</v>
      </c>
      <c r="C124" s="6" t="s">
        <v>583</v>
      </c>
      <c r="D124" s="6" t="s">
        <v>900</v>
      </c>
      <c r="E124" s="6" t="s">
        <v>901</v>
      </c>
      <c r="F124" s="6" t="s">
        <v>606</v>
      </c>
      <c r="G124" s="6" t="s">
        <v>69</v>
      </c>
      <c r="H124" s="13" t="s">
        <v>902</v>
      </c>
      <c r="I124" s="14">
        <v>355</v>
      </c>
      <c r="J124" s="14">
        <v>538</v>
      </c>
    </row>
    <row r="125" spans="1:10" ht="40.5" customHeight="1" x14ac:dyDescent="0.25">
      <c r="A125" s="6" t="s">
        <v>582</v>
      </c>
      <c r="B125" s="6" t="s">
        <v>566</v>
      </c>
      <c r="C125" s="6" t="s">
        <v>583</v>
      </c>
      <c r="D125" s="6" t="s">
        <v>903</v>
      </c>
      <c r="E125" s="6" t="s">
        <v>724</v>
      </c>
      <c r="F125" s="6" t="s">
        <v>606</v>
      </c>
      <c r="G125" s="6" t="s">
        <v>69</v>
      </c>
      <c r="H125" s="13" t="s">
        <v>904</v>
      </c>
      <c r="I125" s="14">
        <v>341</v>
      </c>
      <c r="J125" s="14">
        <v>516</v>
      </c>
    </row>
    <row r="126" spans="1:10" ht="40.5" customHeight="1" x14ac:dyDescent="0.25">
      <c r="A126" s="6" t="s">
        <v>582</v>
      </c>
      <c r="B126" s="6" t="s">
        <v>566</v>
      </c>
      <c r="C126" s="6" t="s">
        <v>583</v>
      </c>
      <c r="D126" s="6" t="s">
        <v>905</v>
      </c>
      <c r="E126" s="6" t="s">
        <v>906</v>
      </c>
      <c r="F126" s="6" t="s">
        <v>606</v>
      </c>
      <c r="G126" s="6" t="s">
        <v>69</v>
      </c>
      <c r="H126" s="13" t="s">
        <v>907</v>
      </c>
      <c r="I126" s="14">
        <v>431</v>
      </c>
      <c r="J126" s="14">
        <v>653</v>
      </c>
    </row>
    <row r="127" spans="1:10" ht="52.5" customHeight="1" x14ac:dyDescent="0.25">
      <c r="A127" s="6" t="s">
        <v>590</v>
      </c>
      <c r="B127" s="6" t="s">
        <v>566</v>
      </c>
      <c r="C127" s="6" t="s">
        <v>591</v>
      </c>
      <c r="D127" s="6" t="s">
        <v>625</v>
      </c>
      <c r="E127" s="6" t="s">
        <v>626</v>
      </c>
      <c r="F127" s="6" t="s">
        <v>606</v>
      </c>
      <c r="G127" s="6" t="s">
        <v>69</v>
      </c>
      <c r="H127" s="13" t="s">
        <v>908</v>
      </c>
      <c r="I127" s="14">
        <v>147</v>
      </c>
      <c r="J127" s="14">
        <v>171</v>
      </c>
    </row>
    <row r="128" spans="1:10" ht="52.5" customHeight="1" x14ac:dyDescent="0.25">
      <c r="A128" s="6" t="s">
        <v>590</v>
      </c>
      <c r="B128" s="6" t="s">
        <v>566</v>
      </c>
      <c r="C128" s="6" t="s">
        <v>591</v>
      </c>
      <c r="D128" s="6" t="s">
        <v>909</v>
      </c>
      <c r="E128" s="6" t="s">
        <v>712</v>
      </c>
      <c r="F128" s="6" t="s">
        <v>606</v>
      </c>
      <c r="G128" s="6" t="s">
        <v>69</v>
      </c>
      <c r="H128" s="13" t="s">
        <v>910</v>
      </c>
      <c r="I128" s="14">
        <v>240</v>
      </c>
      <c r="J128" s="14">
        <v>279</v>
      </c>
    </row>
  </sheetData>
  <autoFilter ref="A1:J128" xr:uid="{00000000-0001-0000-0300-000000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2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0" customWidth="1"/>
    <col min="2" max="2" width="28" customWidth="1"/>
    <col min="3" max="3" width="20" customWidth="1"/>
    <col min="4" max="4" width="32" customWidth="1"/>
    <col min="5" max="5" width="44" customWidth="1"/>
    <col min="6" max="8" width="13" customWidth="1"/>
    <col min="9" max="9" width="11" customWidth="1"/>
    <col min="10" max="10" width="10" customWidth="1"/>
    <col min="11" max="11" width="12" customWidth="1"/>
  </cols>
  <sheetData>
    <row r="1" spans="1:11" ht="19.5" x14ac:dyDescent="0.3">
      <c r="A1" s="2" t="s">
        <v>911</v>
      </c>
    </row>
    <row r="2" spans="1:11" x14ac:dyDescent="0.25">
      <c r="A2" s="3" t="s">
        <v>912</v>
      </c>
    </row>
    <row r="4" spans="1:11" ht="25.5" x14ac:dyDescent="0.25">
      <c r="A4" s="5" t="s">
        <v>163</v>
      </c>
      <c r="B4" s="5" t="s">
        <v>165</v>
      </c>
      <c r="C4" s="5" t="s">
        <v>166</v>
      </c>
      <c r="D4" s="5" t="s">
        <v>167</v>
      </c>
      <c r="E4" s="5" t="s">
        <v>169</v>
      </c>
      <c r="F4" s="5" t="s">
        <v>170</v>
      </c>
      <c r="G4" s="5" t="s">
        <v>171</v>
      </c>
      <c r="H4" s="5" t="s">
        <v>913</v>
      </c>
      <c r="I4" s="5" t="s">
        <v>914</v>
      </c>
      <c r="J4" s="5" t="s">
        <v>915</v>
      </c>
      <c r="K4" s="5" t="s">
        <v>916</v>
      </c>
    </row>
    <row r="5" spans="1:11" ht="25.5" x14ac:dyDescent="0.25">
      <c r="A5" s="6" t="s">
        <v>177</v>
      </c>
      <c r="B5" s="6" t="s">
        <v>178</v>
      </c>
      <c r="C5" s="6" t="s">
        <v>179</v>
      </c>
      <c r="D5" s="6" t="s">
        <v>180</v>
      </c>
      <c r="E5" s="6" t="s">
        <v>182</v>
      </c>
      <c r="F5" s="15">
        <f>SUMIFS('Products and Samples'!$I$2:$I$128,'Products and Samples'!$A$2:$A$128,$A5)</f>
        <v>28</v>
      </c>
      <c r="G5" s="15">
        <f>SUMIFS('Products and Samples'!$J$2:$J$128,'Products and Samples'!$A$2:$A$128,$A5)</f>
        <v>40</v>
      </c>
      <c r="H5" s="16">
        <f t="shared" ref="H5:H52" si="0">IF(G5=0,0,F5/G5)</f>
        <v>0.7</v>
      </c>
      <c r="I5" s="16">
        <f t="shared" ref="I5:I52" si="1">1-H5</f>
        <v>0.30000000000000004</v>
      </c>
      <c r="J5" s="17">
        <v>25</v>
      </c>
      <c r="K5" s="18">
        <f t="shared" ref="K5:K52" si="2">J5*I5</f>
        <v>7.5000000000000009</v>
      </c>
    </row>
    <row r="6" spans="1:11" ht="25.5" x14ac:dyDescent="0.25">
      <c r="A6" s="6" t="s">
        <v>189</v>
      </c>
      <c r="B6" s="6" t="s">
        <v>178</v>
      </c>
      <c r="C6" s="6" t="s">
        <v>179</v>
      </c>
      <c r="D6" s="6" t="s">
        <v>190</v>
      </c>
      <c r="E6" s="6" t="s">
        <v>192</v>
      </c>
      <c r="F6" s="15">
        <f>SUMIFS('Products and Samples'!$I$2:$I$128,'Products and Samples'!$A$2:$A$128,$A6)</f>
        <v>270</v>
      </c>
      <c r="G6" s="15">
        <f>SUMIFS('Products and Samples'!$J$2:$J$128,'Products and Samples'!$A$2:$A$128,$A6)</f>
        <v>500</v>
      </c>
      <c r="H6" s="16">
        <f t="shared" si="0"/>
        <v>0.54</v>
      </c>
      <c r="I6" s="16">
        <f t="shared" si="1"/>
        <v>0.45999999999999996</v>
      </c>
      <c r="J6" s="17">
        <v>25</v>
      </c>
      <c r="K6" s="18">
        <f t="shared" si="2"/>
        <v>11.5</v>
      </c>
    </row>
    <row r="7" spans="1:11" ht="25.5" x14ac:dyDescent="0.25">
      <c r="A7" s="6" t="s">
        <v>198</v>
      </c>
      <c r="B7" s="6" t="s">
        <v>178</v>
      </c>
      <c r="C7" s="6" t="s">
        <v>179</v>
      </c>
      <c r="D7" s="6" t="s">
        <v>199</v>
      </c>
      <c r="E7" s="6" t="s">
        <v>201</v>
      </c>
      <c r="F7" s="15">
        <f>SUMIFS('Products and Samples'!$I$2:$I$128,'Products and Samples'!$A$2:$A$128,$A7)</f>
        <v>26</v>
      </c>
      <c r="G7" s="15">
        <f>SUMIFS('Products and Samples'!$J$2:$J$128,'Products and Samples'!$A$2:$A$128,$A7)</f>
        <v>40</v>
      </c>
      <c r="H7" s="16">
        <f t="shared" si="0"/>
        <v>0.65</v>
      </c>
      <c r="I7" s="16">
        <f t="shared" si="1"/>
        <v>0.35</v>
      </c>
      <c r="J7" s="17">
        <v>20</v>
      </c>
      <c r="K7" s="18">
        <f t="shared" si="2"/>
        <v>7</v>
      </c>
    </row>
    <row r="8" spans="1:11" ht="25.5" x14ac:dyDescent="0.25">
      <c r="A8" s="6" t="s">
        <v>206</v>
      </c>
      <c r="B8" s="6" t="s">
        <v>178</v>
      </c>
      <c r="C8" s="6" t="s">
        <v>179</v>
      </c>
      <c r="D8" s="6" t="s">
        <v>207</v>
      </c>
      <c r="E8" s="6" t="s">
        <v>209</v>
      </c>
      <c r="F8" s="15">
        <f>SUMIFS('Products and Samples'!$I$2:$I$128,'Products and Samples'!$A$2:$A$128,$A8)</f>
        <v>18</v>
      </c>
      <c r="G8" s="15">
        <f>SUMIFS('Products and Samples'!$J$2:$J$128,'Products and Samples'!$A$2:$A$128,$A8)</f>
        <v>60</v>
      </c>
      <c r="H8" s="16">
        <f t="shared" si="0"/>
        <v>0.3</v>
      </c>
      <c r="I8" s="16">
        <f t="shared" si="1"/>
        <v>0.7</v>
      </c>
      <c r="J8" s="17">
        <v>30</v>
      </c>
      <c r="K8" s="18">
        <f t="shared" si="2"/>
        <v>21</v>
      </c>
    </row>
    <row r="9" spans="1:11" x14ac:dyDescent="0.25">
      <c r="A9" s="6" t="s">
        <v>215</v>
      </c>
      <c r="B9" s="6" t="s">
        <v>216</v>
      </c>
      <c r="C9" s="6" t="s">
        <v>217</v>
      </c>
      <c r="D9" s="6" t="s">
        <v>218</v>
      </c>
      <c r="E9" s="6" t="s">
        <v>220</v>
      </c>
      <c r="F9" s="15">
        <f>SUMIFS('Products and Samples'!$I$2:$I$128,'Products and Samples'!$A$2:$A$128,$A9)</f>
        <v>1500</v>
      </c>
      <c r="G9" s="15">
        <f>SUMIFS('Products and Samples'!$J$2:$J$128,'Products and Samples'!$A$2:$A$128,$A9)</f>
        <v>2000</v>
      </c>
      <c r="H9" s="16">
        <f t="shared" si="0"/>
        <v>0.75</v>
      </c>
      <c r="I9" s="16">
        <f t="shared" si="1"/>
        <v>0.25</v>
      </c>
      <c r="J9" s="17">
        <v>30</v>
      </c>
      <c r="K9" s="18">
        <f t="shared" si="2"/>
        <v>7.5</v>
      </c>
    </row>
    <row r="10" spans="1:11" ht="25.5" x14ac:dyDescent="0.25">
      <c r="A10" s="6" t="s">
        <v>226</v>
      </c>
      <c r="B10" s="6" t="s">
        <v>216</v>
      </c>
      <c r="C10" s="6" t="s">
        <v>217</v>
      </c>
      <c r="D10" s="6" t="s">
        <v>227</v>
      </c>
      <c r="E10" s="6" t="s">
        <v>229</v>
      </c>
      <c r="F10" s="15">
        <f>SUMIFS('Products and Samples'!$I$2:$I$128,'Products and Samples'!$A$2:$A$128,$A10)</f>
        <v>21</v>
      </c>
      <c r="G10" s="15">
        <f>SUMIFS('Products and Samples'!$J$2:$J$128,'Products and Samples'!$A$2:$A$128,$A10)</f>
        <v>30</v>
      </c>
      <c r="H10" s="16">
        <f t="shared" si="0"/>
        <v>0.7</v>
      </c>
      <c r="I10" s="16">
        <f t="shared" si="1"/>
        <v>0.30000000000000004</v>
      </c>
      <c r="J10" s="17">
        <v>20</v>
      </c>
      <c r="K10" s="18">
        <f t="shared" si="2"/>
        <v>6.0000000000000009</v>
      </c>
    </row>
    <row r="11" spans="1:11" x14ac:dyDescent="0.25">
      <c r="A11" s="6" t="s">
        <v>234</v>
      </c>
      <c r="B11" s="6" t="s">
        <v>216</v>
      </c>
      <c r="C11" s="6" t="s">
        <v>217</v>
      </c>
      <c r="D11" s="6" t="s">
        <v>235</v>
      </c>
      <c r="E11" s="6" t="s">
        <v>237</v>
      </c>
      <c r="F11" s="15">
        <f>SUMIFS('Products and Samples'!$I$2:$I$128,'Products and Samples'!$A$2:$A$128,$A11)</f>
        <v>285</v>
      </c>
      <c r="G11" s="15">
        <f>SUMIFS('Products and Samples'!$J$2:$J$128,'Products and Samples'!$A$2:$A$128,$A11)</f>
        <v>375</v>
      </c>
      <c r="H11" s="16">
        <f t="shared" si="0"/>
        <v>0.76</v>
      </c>
      <c r="I11" s="16">
        <f t="shared" si="1"/>
        <v>0.24</v>
      </c>
      <c r="J11" s="17">
        <v>25</v>
      </c>
      <c r="K11" s="18">
        <f t="shared" si="2"/>
        <v>6</v>
      </c>
    </row>
    <row r="12" spans="1:11" x14ac:dyDescent="0.25">
      <c r="A12" s="6" t="s">
        <v>242</v>
      </c>
      <c r="B12" s="6" t="s">
        <v>216</v>
      </c>
      <c r="C12" s="6" t="s">
        <v>217</v>
      </c>
      <c r="D12" s="6" t="s">
        <v>243</v>
      </c>
      <c r="E12" s="6" t="s">
        <v>245</v>
      </c>
      <c r="F12" s="15">
        <f>SUMIFS('Products and Samples'!$I$2:$I$128,'Products and Samples'!$A$2:$A$128,$A12)</f>
        <v>124</v>
      </c>
      <c r="G12" s="15">
        <f>SUMIFS('Products and Samples'!$J$2:$J$128,'Products and Samples'!$A$2:$A$128,$A12)</f>
        <v>200</v>
      </c>
      <c r="H12" s="16">
        <f t="shared" si="0"/>
        <v>0.62</v>
      </c>
      <c r="I12" s="16">
        <f t="shared" si="1"/>
        <v>0.38</v>
      </c>
      <c r="J12" s="17">
        <v>25</v>
      </c>
      <c r="K12" s="18">
        <f t="shared" si="2"/>
        <v>9.5</v>
      </c>
    </row>
    <row r="13" spans="1:11" x14ac:dyDescent="0.25">
      <c r="A13" s="6" t="s">
        <v>251</v>
      </c>
      <c r="B13" s="6" t="s">
        <v>252</v>
      </c>
      <c r="C13" s="6" t="s">
        <v>253</v>
      </c>
      <c r="D13" s="6" t="s">
        <v>254</v>
      </c>
      <c r="E13" s="6" t="s">
        <v>256</v>
      </c>
      <c r="F13" s="15">
        <f>SUMIFS('Products and Samples'!$I$2:$I$128,'Products and Samples'!$A$2:$A$128,$A13)</f>
        <v>308</v>
      </c>
      <c r="G13" s="15">
        <f>SUMIFS('Products and Samples'!$J$2:$J$128,'Products and Samples'!$A$2:$A$128,$A13)</f>
        <v>350</v>
      </c>
      <c r="H13" s="16">
        <f t="shared" si="0"/>
        <v>0.88</v>
      </c>
      <c r="I13" s="16">
        <f t="shared" si="1"/>
        <v>0.12</v>
      </c>
      <c r="J13" s="17">
        <v>25</v>
      </c>
      <c r="K13" s="18">
        <f t="shared" si="2"/>
        <v>3</v>
      </c>
    </row>
    <row r="14" spans="1:11" x14ac:dyDescent="0.25">
      <c r="A14" s="6" t="s">
        <v>262</v>
      </c>
      <c r="B14" s="6" t="s">
        <v>252</v>
      </c>
      <c r="C14" s="6" t="s">
        <v>253</v>
      </c>
      <c r="D14" s="6" t="s">
        <v>263</v>
      </c>
      <c r="E14" s="6" t="s">
        <v>265</v>
      </c>
      <c r="F14" s="15">
        <f>SUMIFS('Products and Samples'!$I$2:$I$128,'Products and Samples'!$A$2:$A$128,$A14)</f>
        <v>36</v>
      </c>
      <c r="G14" s="15">
        <f>SUMIFS('Products and Samples'!$J$2:$J$128,'Products and Samples'!$A$2:$A$128,$A14)</f>
        <v>40</v>
      </c>
      <c r="H14" s="16">
        <f t="shared" si="0"/>
        <v>0.9</v>
      </c>
      <c r="I14" s="16">
        <f t="shared" si="1"/>
        <v>9.9999999999999978E-2</v>
      </c>
      <c r="J14" s="17">
        <v>25</v>
      </c>
      <c r="K14" s="18">
        <f t="shared" si="2"/>
        <v>2.4999999999999996</v>
      </c>
    </row>
    <row r="15" spans="1:11" x14ac:dyDescent="0.25">
      <c r="A15" s="6" t="s">
        <v>270</v>
      </c>
      <c r="B15" s="6" t="s">
        <v>252</v>
      </c>
      <c r="C15" s="6" t="s">
        <v>253</v>
      </c>
      <c r="D15" s="6" t="s">
        <v>271</v>
      </c>
      <c r="E15" s="6" t="s">
        <v>273</v>
      </c>
      <c r="F15" s="15">
        <f>SUMIFS('Products and Samples'!$I$2:$I$128,'Products and Samples'!$A$2:$A$128,$A15)</f>
        <v>24</v>
      </c>
      <c r="G15" s="15">
        <f>SUMIFS('Products and Samples'!$J$2:$J$128,'Products and Samples'!$A$2:$A$128,$A15)</f>
        <v>32</v>
      </c>
      <c r="H15" s="16">
        <f t="shared" si="0"/>
        <v>0.75</v>
      </c>
      <c r="I15" s="16">
        <f t="shared" si="1"/>
        <v>0.25</v>
      </c>
      <c r="J15" s="17">
        <v>30</v>
      </c>
      <c r="K15" s="18">
        <f t="shared" si="2"/>
        <v>7.5</v>
      </c>
    </row>
    <row r="16" spans="1:11" x14ac:dyDescent="0.25">
      <c r="A16" s="6" t="s">
        <v>278</v>
      </c>
      <c r="B16" s="6" t="s">
        <v>252</v>
      </c>
      <c r="C16" s="6" t="s">
        <v>253</v>
      </c>
      <c r="D16" s="6" t="s">
        <v>279</v>
      </c>
      <c r="E16" s="6" t="s">
        <v>281</v>
      </c>
      <c r="F16" s="15">
        <f>SUMIFS('Products and Samples'!$I$2:$I$128,'Products and Samples'!$A$2:$A$128,$A16)</f>
        <v>172</v>
      </c>
      <c r="G16" s="15">
        <f>SUMIFS('Products and Samples'!$J$2:$J$128,'Products and Samples'!$A$2:$A$128,$A16)</f>
        <v>215</v>
      </c>
      <c r="H16" s="16">
        <f t="shared" si="0"/>
        <v>0.8</v>
      </c>
      <c r="I16" s="16">
        <f t="shared" si="1"/>
        <v>0.19999999999999996</v>
      </c>
      <c r="J16" s="17">
        <v>20</v>
      </c>
      <c r="K16" s="18">
        <f t="shared" si="2"/>
        <v>3.9999999999999991</v>
      </c>
    </row>
    <row r="17" spans="1:11" ht="25.5" x14ac:dyDescent="0.25">
      <c r="A17" s="6" t="s">
        <v>286</v>
      </c>
      <c r="B17" s="6" t="s">
        <v>287</v>
      </c>
      <c r="C17" s="6" t="s">
        <v>288</v>
      </c>
      <c r="D17" s="6" t="s">
        <v>289</v>
      </c>
      <c r="E17" s="6" t="s">
        <v>291</v>
      </c>
      <c r="F17" s="15">
        <f>SUMIFS('Products and Samples'!$I$2:$I$128,'Products and Samples'!$A$2:$A$128,$A17)</f>
        <v>5</v>
      </c>
      <c r="G17" s="15">
        <f>SUMIFS('Products and Samples'!$J$2:$J$128,'Products and Samples'!$A$2:$A$128,$A17)</f>
        <v>50</v>
      </c>
      <c r="H17" s="16">
        <f t="shared" si="0"/>
        <v>0.1</v>
      </c>
      <c r="I17" s="16">
        <f t="shared" si="1"/>
        <v>0.9</v>
      </c>
      <c r="J17" s="17">
        <v>30</v>
      </c>
      <c r="K17" s="18">
        <f t="shared" si="2"/>
        <v>27</v>
      </c>
    </row>
    <row r="18" spans="1:11" ht="25.5" x14ac:dyDescent="0.25">
      <c r="A18" s="6" t="s">
        <v>297</v>
      </c>
      <c r="B18" s="6" t="s">
        <v>287</v>
      </c>
      <c r="C18" s="6" t="s">
        <v>288</v>
      </c>
      <c r="D18" s="6" t="s">
        <v>298</v>
      </c>
      <c r="E18" s="6" t="s">
        <v>300</v>
      </c>
      <c r="F18" s="15">
        <f>SUMIFS('Products and Samples'!$I$2:$I$128,'Products and Samples'!$A$2:$A$128,$A18)</f>
        <v>7</v>
      </c>
      <c r="G18" s="15">
        <f>SUMIFS('Products and Samples'!$J$2:$J$128,'Products and Samples'!$A$2:$A$128,$A18)</f>
        <v>20</v>
      </c>
      <c r="H18" s="16">
        <f t="shared" si="0"/>
        <v>0.35</v>
      </c>
      <c r="I18" s="16">
        <f t="shared" si="1"/>
        <v>0.65</v>
      </c>
      <c r="J18" s="17">
        <v>25</v>
      </c>
      <c r="K18" s="18">
        <f t="shared" si="2"/>
        <v>16.25</v>
      </c>
    </row>
    <row r="19" spans="1:11" ht="25.5" x14ac:dyDescent="0.25">
      <c r="A19" s="6" t="s">
        <v>305</v>
      </c>
      <c r="B19" s="6" t="s">
        <v>287</v>
      </c>
      <c r="C19" s="6" t="s">
        <v>288</v>
      </c>
      <c r="D19" s="6" t="s">
        <v>306</v>
      </c>
      <c r="E19" s="6" t="s">
        <v>308</v>
      </c>
      <c r="F19" s="15">
        <f>SUMIFS('Products and Samples'!$I$2:$I$128,'Products and Samples'!$A$2:$A$128,$A19)</f>
        <v>45</v>
      </c>
      <c r="G19" s="15">
        <f>SUMIFS('Products and Samples'!$J$2:$J$128,'Products and Samples'!$A$2:$A$128,$A19)</f>
        <v>75</v>
      </c>
      <c r="H19" s="16">
        <f t="shared" si="0"/>
        <v>0.6</v>
      </c>
      <c r="I19" s="16">
        <f t="shared" si="1"/>
        <v>0.4</v>
      </c>
      <c r="J19" s="17">
        <v>20</v>
      </c>
      <c r="K19" s="18">
        <f t="shared" si="2"/>
        <v>8</v>
      </c>
    </row>
    <row r="20" spans="1:11" x14ac:dyDescent="0.25">
      <c r="A20" s="6" t="s">
        <v>313</v>
      </c>
      <c r="B20" s="6" t="s">
        <v>287</v>
      </c>
      <c r="C20" s="6" t="s">
        <v>288</v>
      </c>
      <c r="D20" s="6" t="s">
        <v>314</v>
      </c>
      <c r="E20" s="6" t="s">
        <v>316</v>
      </c>
      <c r="F20" s="15">
        <f>SUMIFS('Products and Samples'!$I$2:$I$128,'Products and Samples'!$A$2:$A$128,$A20)</f>
        <v>36</v>
      </c>
      <c r="G20" s="15">
        <f>SUMIFS('Products and Samples'!$J$2:$J$128,'Products and Samples'!$A$2:$A$128,$A20)</f>
        <v>80</v>
      </c>
      <c r="H20" s="16">
        <f t="shared" si="0"/>
        <v>0.45</v>
      </c>
      <c r="I20" s="16">
        <f t="shared" si="1"/>
        <v>0.55000000000000004</v>
      </c>
      <c r="J20" s="17">
        <v>25</v>
      </c>
      <c r="K20" s="18">
        <f t="shared" si="2"/>
        <v>13.750000000000002</v>
      </c>
    </row>
    <row r="21" spans="1:11" x14ac:dyDescent="0.25">
      <c r="A21" s="6" t="s">
        <v>321</v>
      </c>
      <c r="B21" s="6" t="s">
        <v>322</v>
      </c>
      <c r="C21" s="6" t="s">
        <v>323</v>
      </c>
      <c r="D21" s="6" t="s">
        <v>324</v>
      </c>
      <c r="E21" s="6" t="s">
        <v>326</v>
      </c>
      <c r="F21" s="15">
        <f>SUMIFS('Products and Samples'!$I$2:$I$128,'Products and Samples'!$A$2:$A$128,$A21)</f>
        <v>15</v>
      </c>
      <c r="G21" s="15">
        <f>SUMIFS('Products and Samples'!$J$2:$J$128,'Products and Samples'!$A$2:$A$128,$A21)</f>
        <v>250</v>
      </c>
      <c r="H21" s="16">
        <f t="shared" si="0"/>
        <v>0.06</v>
      </c>
      <c r="I21" s="16">
        <f t="shared" si="1"/>
        <v>0.94</v>
      </c>
      <c r="J21" s="17">
        <v>35</v>
      </c>
      <c r="K21" s="18">
        <f t="shared" si="2"/>
        <v>32.9</v>
      </c>
    </row>
    <row r="22" spans="1:11" ht="25.5" x14ac:dyDescent="0.25">
      <c r="A22" s="6" t="s">
        <v>332</v>
      </c>
      <c r="B22" s="6" t="s">
        <v>322</v>
      </c>
      <c r="C22" s="6" t="s">
        <v>323</v>
      </c>
      <c r="D22" s="6" t="s">
        <v>333</v>
      </c>
      <c r="E22" s="6" t="s">
        <v>335</v>
      </c>
      <c r="F22" s="15">
        <f>SUMIFS('Products and Samples'!$I$2:$I$128,'Products and Samples'!$A$2:$A$128,$A22)</f>
        <v>144</v>
      </c>
      <c r="G22" s="15">
        <f>SUMIFS('Products and Samples'!$J$2:$J$128,'Products and Samples'!$A$2:$A$128,$A22)</f>
        <v>200</v>
      </c>
      <c r="H22" s="16">
        <f t="shared" si="0"/>
        <v>0.72</v>
      </c>
      <c r="I22" s="16">
        <f t="shared" si="1"/>
        <v>0.28000000000000003</v>
      </c>
      <c r="J22" s="17">
        <v>20</v>
      </c>
      <c r="K22" s="18">
        <f t="shared" si="2"/>
        <v>5.6000000000000005</v>
      </c>
    </row>
    <row r="23" spans="1:11" ht="25.5" x14ac:dyDescent="0.25">
      <c r="A23" s="6" t="s">
        <v>340</v>
      </c>
      <c r="B23" s="6" t="s">
        <v>322</v>
      </c>
      <c r="C23" s="6" t="s">
        <v>323</v>
      </c>
      <c r="D23" s="6" t="s">
        <v>341</v>
      </c>
      <c r="E23" s="6" t="s">
        <v>343</v>
      </c>
      <c r="F23" s="15">
        <f>SUMIFS('Products and Samples'!$I$2:$I$128,'Products and Samples'!$A$2:$A$128,$A23)</f>
        <v>9</v>
      </c>
      <c r="G23" s="15">
        <f>SUMIFS('Products and Samples'!$J$2:$J$128,'Products and Samples'!$A$2:$A$128,$A23)</f>
        <v>45</v>
      </c>
      <c r="H23" s="16">
        <f t="shared" si="0"/>
        <v>0.2</v>
      </c>
      <c r="I23" s="16">
        <f t="shared" si="1"/>
        <v>0.8</v>
      </c>
      <c r="J23" s="17">
        <v>20</v>
      </c>
      <c r="K23" s="18">
        <f t="shared" si="2"/>
        <v>16</v>
      </c>
    </row>
    <row r="24" spans="1:11" x14ac:dyDescent="0.25">
      <c r="A24" s="6" t="s">
        <v>348</v>
      </c>
      <c r="B24" s="6" t="s">
        <v>322</v>
      </c>
      <c r="C24" s="6" t="s">
        <v>323</v>
      </c>
      <c r="D24" s="6" t="s">
        <v>349</v>
      </c>
      <c r="E24" s="6" t="s">
        <v>351</v>
      </c>
      <c r="F24" s="15">
        <f>SUMIFS('Products and Samples'!$I$2:$I$128,'Products and Samples'!$A$2:$A$128,$A24)</f>
        <v>35</v>
      </c>
      <c r="G24" s="15">
        <f>SUMIFS('Products and Samples'!$J$2:$J$128,'Products and Samples'!$A$2:$A$128,$A24)</f>
        <v>250</v>
      </c>
      <c r="H24" s="16">
        <f t="shared" si="0"/>
        <v>0.14000000000000001</v>
      </c>
      <c r="I24" s="16">
        <f t="shared" si="1"/>
        <v>0.86</v>
      </c>
      <c r="J24" s="17">
        <v>25</v>
      </c>
      <c r="K24" s="18">
        <f t="shared" si="2"/>
        <v>21.5</v>
      </c>
    </row>
    <row r="25" spans="1:11" ht="25.5" x14ac:dyDescent="0.25">
      <c r="A25" s="6" t="s">
        <v>356</v>
      </c>
      <c r="B25" s="6" t="s">
        <v>357</v>
      </c>
      <c r="C25" s="6" t="s">
        <v>358</v>
      </c>
      <c r="D25" s="6" t="s">
        <v>359</v>
      </c>
      <c r="E25" s="6" t="s">
        <v>361</v>
      </c>
      <c r="F25" s="15">
        <f>SUMIFS('Products and Samples'!$I$2:$I$128,'Products and Samples'!$A$2:$A$128,$A25)</f>
        <v>960</v>
      </c>
      <c r="G25" s="15">
        <f>SUMIFS('Products and Samples'!$J$2:$J$128,'Products and Samples'!$A$2:$A$128,$A25)</f>
        <v>2000</v>
      </c>
      <c r="H25" s="16">
        <f t="shared" si="0"/>
        <v>0.48</v>
      </c>
      <c r="I25" s="16">
        <f t="shared" si="1"/>
        <v>0.52</v>
      </c>
      <c r="J25" s="17">
        <v>25</v>
      </c>
      <c r="K25" s="18">
        <f t="shared" si="2"/>
        <v>13</v>
      </c>
    </row>
    <row r="26" spans="1:11" ht="25.5" x14ac:dyDescent="0.25">
      <c r="A26" s="6" t="s">
        <v>367</v>
      </c>
      <c r="B26" s="6" t="s">
        <v>357</v>
      </c>
      <c r="C26" s="6" t="s">
        <v>358</v>
      </c>
      <c r="D26" s="6" t="s">
        <v>368</v>
      </c>
      <c r="E26" s="6" t="s">
        <v>370</v>
      </c>
      <c r="F26" s="15">
        <f>SUMIFS('Products and Samples'!$I$2:$I$128,'Products and Samples'!$A$2:$A$128,$A26)</f>
        <v>84</v>
      </c>
      <c r="G26" s="15">
        <f>SUMIFS('Products and Samples'!$J$2:$J$128,'Products and Samples'!$A$2:$A$128,$A26)</f>
        <v>120</v>
      </c>
      <c r="H26" s="16">
        <f t="shared" si="0"/>
        <v>0.7</v>
      </c>
      <c r="I26" s="16">
        <f t="shared" si="1"/>
        <v>0.30000000000000004</v>
      </c>
      <c r="J26" s="17">
        <v>20</v>
      </c>
      <c r="K26" s="18">
        <f t="shared" si="2"/>
        <v>6.0000000000000009</v>
      </c>
    </row>
    <row r="27" spans="1:11" ht="25.5" x14ac:dyDescent="0.25">
      <c r="A27" s="6" t="s">
        <v>375</v>
      </c>
      <c r="B27" s="6" t="s">
        <v>357</v>
      </c>
      <c r="C27" s="6" t="s">
        <v>358</v>
      </c>
      <c r="D27" s="6" t="s">
        <v>376</v>
      </c>
      <c r="E27" s="6" t="s">
        <v>378</v>
      </c>
      <c r="F27" s="15">
        <f>SUMIFS('Products and Samples'!$I$2:$I$128,'Products and Samples'!$A$2:$A$128,$A27)</f>
        <v>102</v>
      </c>
      <c r="G27" s="15">
        <f>SUMIFS('Products and Samples'!$J$2:$J$128,'Products and Samples'!$A$2:$A$128,$A27)</f>
        <v>204</v>
      </c>
      <c r="H27" s="16">
        <f t="shared" si="0"/>
        <v>0.5</v>
      </c>
      <c r="I27" s="16">
        <f t="shared" si="1"/>
        <v>0.5</v>
      </c>
      <c r="J27" s="17">
        <v>25</v>
      </c>
      <c r="K27" s="18">
        <f t="shared" si="2"/>
        <v>12.5</v>
      </c>
    </row>
    <row r="28" spans="1:11" ht="25.5" x14ac:dyDescent="0.25">
      <c r="A28" s="6" t="s">
        <v>383</v>
      </c>
      <c r="B28" s="6" t="s">
        <v>357</v>
      </c>
      <c r="C28" s="6" t="s">
        <v>358</v>
      </c>
      <c r="D28" s="6" t="s">
        <v>384</v>
      </c>
      <c r="E28" s="6" t="s">
        <v>386</v>
      </c>
      <c r="F28" s="15">
        <f>SUMIFS('Products and Samples'!$I$2:$I$128,'Products and Samples'!$A$2:$A$128,$A28)</f>
        <v>7</v>
      </c>
      <c r="G28" s="15">
        <f>SUMIFS('Products and Samples'!$J$2:$J$128,'Products and Samples'!$A$2:$A$128,$A28)</f>
        <v>28</v>
      </c>
      <c r="H28" s="16">
        <f t="shared" si="0"/>
        <v>0.25</v>
      </c>
      <c r="I28" s="16">
        <f t="shared" si="1"/>
        <v>0.75</v>
      </c>
      <c r="J28" s="17">
        <v>30</v>
      </c>
      <c r="K28" s="18">
        <f t="shared" si="2"/>
        <v>22.5</v>
      </c>
    </row>
    <row r="29" spans="1:11" ht="25.5" x14ac:dyDescent="0.25">
      <c r="A29" s="6" t="s">
        <v>391</v>
      </c>
      <c r="B29" s="6" t="s">
        <v>392</v>
      </c>
      <c r="C29" s="6" t="s">
        <v>393</v>
      </c>
      <c r="D29" s="6" t="s">
        <v>394</v>
      </c>
      <c r="E29" s="6" t="s">
        <v>396</v>
      </c>
      <c r="F29" s="15">
        <f>SUMIFS('Products and Samples'!$I$2:$I$128,'Products and Samples'!$A$2:$A$128,$A29)</f>
        <v>3201</v>
      </c>
      <c r="G29" s="15">
        <f>SUMIFS('Products and Samples'!$J$2:$J$128,'Products and Samples'!$A$2:$A$128,$A29)</f>
        <v>3300</v>
      </c>
      <c r="H29" s="16">
        <f t="shared" si="0"/>
        <v>0.97</v>
      </c>
      <c r="I29" s="16">
        <f t="shared" si="1"/>
        <v>3.0000000000000027E-2</v>
      </c>
      <c r="J29" s="17">
        <v>25</v>
      </c>
      <c r="K29" s="18">
        <f t="shared" si="2"/>
        <v>0.75000000000000067</v>
      </c>
    </row>
    <row r="30" spans="1:11" ht="25.5" x14ac:dyDescent="0.25">
      <c r="A30" s="6" t="s">
        <v>402</v>
      </c>
      <c r="B30" s="6" t="s">
        <v>392</v>
      </c>
      <c r="C30" s="6" t="s">
        <v>393</v>
      </c>
      <c r="D30" s="6" t="s">
        <v>403</v>
      </c>
      <c r="E30" s="6" t="s">
        <v>405</v>
      </c>
      <c r="F30" s="15">
        <f>SUMIFS('Products and Samples'!$I$2:$I$128,'Products and Samples'!$A$2:$A$128,$A30)</f>
        <v>147</v>
      </c>
      <c r="G30" s="15">
        <f>SUMIFS('Products and Samples'!$J$2:$J$128,'Products and Samples'!$A$2:$A$128,$A30)</f>
        <v>175</v>
      </c>
      <c r="H30" s="16">
        <f t="shared" si="0"/>
        <v>0.84</v>
      </c>
      <c r="I30" s="16">
        <f t="shared" si="1"/>
        <v>0.16000000000000003</v>
      </c>
      <c r="J30" s="17">
        <v>20</v>
      </c>
      <c r="K30" s="18">
        <f t="shared" si="2"/>
        <v>3.2000000000000006</v>
      </c>
    </row>
    <row r="31" spans="1:11" ht="25.5" x14ac:dyDescent="0.25">
      <c r="A31" s="6" t="s">
        <v>410</v>
      </c>
      <c r="B31" s="6" t="s">
        <v>392</v>
      </c>
      <c r="C31" s="6" t="s">
        <v>393</v>
      </c>
      <c r="D31" s="6" t="s">
        <v>411</v>
      </c>
      <c r="E31" s="6" t="s">
        <v>413</v>
      </c>
      <c r="F31" s="15">
        <f>SUMIFS('Products and Samples'!$I$2:$I$128,'Products and Samples'!$A$2:$A$128,$A31)</f>
        <v>992</v>
      </c>
      <c r="G31" s="15">
        <f>SUMIFS('Products and Samples'!$J$2:$J$128,'Products and Samples'!$A$2:$A$128,$A31)</f>
        <v>1550</v>
      </c>
      <c r="H31" s="16">
        <f t="shared" si="0"/>
        <v>0.64</v>
      </c>
      <c r="I31" s="16">
        <f t="shared" si="1"/>
        <v>0.36</v>
      </c>
      <c r="J31" s="17">
        <v>30</v>
      </c>
      <c r="K31" s="18">
        <f t="shared" si="2"/>
        <v>10.799999999999999</v>
      </c>
    </row>
    <row r="32" spans="1:11" ht="25.5" x14ac:dyDescent="0.25">
      <c r="A32" s="6" t="s">
        <v>418</v>
      </c>
      <c r="B32" s="6" t="s">
        <v>392</v>
      </c>
      <c r="C32" s="6" t="s">
        <v>393</v>
      </c>
      <c r="D32" s="6" t="s">
        <v>419</v>
      </c>
      <c r="E32" s="6" t="s">
        <v>421</v>
      </c>
      <c r="F32" s="15">
        <f>SUMIFS('Products and Samples'!$I$2:$I$128,'Products and Samples'!$A$2:$A$128,$A32)</f>
        <v>375</v>
      </c>
      <c r="G32" s="15">
        <f>SUMIFS('Products and Samples'!$J$2:$J$128,'Products and Samples'!$A$2:$A$128,$A32)</f>
        <v>500</v>
      </c>
      <c r="H32" s="16">
        <f t="shared" si="0"/>
        <v>0.75</v>
      </c>
      <c r="I32" s="16">
        <f t="shared" si="1"/>
        <v>0.25</v>
      </c>
      <c r="J32" s="17">
        <v>25</v>
      </c>
      <c r="K32" s="18">
        <f t="shared" si="2"/>
        <v>6.25</v>
      </c>
    </row>
    <row r="33" spans="1:11" x14ac:dyDescent="0.25">
      <c r="A33" s="6" t="s">
        <v>427</v>
      </c>
      <c r="B33" s="6" t="s">
        <v>428</v>
      </c>
      <c r="C33" s="6" t="s">
        <v>429</v>
      </c>
      <c r="D33" s="6" t="s">
        <v>430</v>
      </c>
      <c r="E33" s="6" t="s">
        <v>432</v>
      </c>
      <c r="F33" s="15">
        <f>SUMIFS('Products and Samples'!$I$2:$I$128,'Products and Samples'!$A$2:$A$128,$A33)</f>
        <v>70</v>
      </c>
      <c r="G33" s="15">
        <f>SUMIFS('Products and Samples'!$J$2:$J$128,'Products and Samples'!$A$2:$A$128,$A33)</f>
        <v>100</v>
      </c>
      <c r="H33" s="16">
        <f t="shared" si="0"/>
        <v>0.7</v>
      </c>
      <c r="I33" s="16">
        <f t="shared" si="1"/>
        <v>0.30000000000000004</v>
      </c>
      <c r="J33" s="17">
        <v>20</v>
      </c>
      <c r="K33" s="18">
        <f t="shared" si="2"/>
        <v>6.0000000000000009</v>
      </c>
    </row>
    <row r="34" spans="1:11" x14ac:dyDescent="0.25">
      <c r="A34" s="6" t="s">
        <v>438</v>
      </c>
      <c r="B34" s="6" t="s">
        <v>428</v>
      </c>
      <c r="C34" s="6" t="s">
        <v>429</v>
      </c>
      <c r="D34" s="6" t="s">
        <v>439</v>
      </c>
      <c r="E34" s="6" t="s">
        <v>441</v>
      </c>
      <c r="F34" s="15">
        <f>SUMIFS('Products and Samples'!$I$2:$I$128,'Products and Samples'!$A$2:$A$128,$A34)</f>
        <v>1674</v>
      </c>
      <c r="G34" s="15">
        <f>SUMIFS('Products and Samples'!$J$2:$J$128,'Products and Samples'!$A$2:$A$128,$A34)</f>
        <v>3100</v>
      </c>
      <c r="H34" s="16">
        <f t="shared" si="0"/>
        <v>0.54</v>
      </c>
      <c r="I34" s="16">
        <f t="shared" si="1"/>
        <v>0.45999999999999996</v>
      </c>
      <c r="J34" s="17">
        <v>30</v>
      </c>
      <c r="K34" s="18">
        <f t="shared" si="2"/>
        <v>13.799999999999999</v>
      </c>
    </row>
    <row r="35" spans="1:11" ht="25.5" x14ac:dyDescent="0.25">
      <c r="A35" s="6" t="s">
        <v>446</v>
      </c>
      <c r="B35" s="6" t="s">
        <v>428</v>
      </c>
      <c r="C35" s="6" t="s">
        <v>429</v>
      </c>
      <c r="D35" s="6" t="s">
        <v>447</v>
      </c>
      <c r="E35" s="6" t="s">
        <v>449</v>
      </c>
      <c r="F35" s="15">
        <f>SUMIFS('Products and Samples'!$I$2:$I$128,'Products and Samples'!$A$2:$A$128,$A35)</f>
        <v>76</v>
      </c>
      <c r="G35" s="15">
        <f>SUMIFS('Products and Samples'!$J$2:$J$128,'Products and Samples'!$A$2:$A$128,$A35)</f>
        <v>200</v>
      </c>
      <c r="H35" s="16">
        <f t="shared" si="0"/>
        <v>0.38</v>
      </c>
      <c r="I35" s="16">
        <f t="shared" si="1"/>
        <v>0.62</v>
      </c>
      <c r="J35" s="17">
        <v>30</v>
      </c>
      <c r="K35" s="18">
        <f t="shared" si="2"/>
        <v>18.600000000000001</v>
      </c>
    </row>
    <row r="36" spans="1:11" x14ac:dyDescent="0.25">
      <c r="A36" s="6" t="s">
        <v>454</v>
      </c>
      <c r="B36" s="6" t="s">
        <v>428</v>
      </c>
      <c r="C36" s="6" t="s">
        <v>429</v>
      </c>
      <c r="D36" s="6" t="s">
        <v>455</v>
      </c>
      <c r="E36" s="6" t="s">
        <v>457</v>
      </c>
      <c r="F36" s="15">
        <f>SUMIFS('Products and Samples'!$I$2:$I$128,'Products and Samples'!$A$2:$A$128,$A36)</f>
        <v>161</v>
      </c>
      <c r="G36" s="15">
        <f>SUMIFS('Products and Samples'!$J$2:$J$128,'Products and Samples'!$A$2:$A$128,$A36)</f>
        <v>175</v>
      </c>
      <c r="H36" s="16">
        <f t="shared" si="0"/>
        <v>0.92</v>
      </c>
      <c r="I36" s="16">
        <f t="shared" si="1"/>
        <v>7.999999999999996E-2</v>
      </c>
      <c r="J36" s="17">
        <v>20</v>
      </c>
      <c r="K36" s="18">
        <f t="shared" si="2"/>
        <v>1.5999999999999992</v>
      </c>
    </row>
    <row r="37" spans="1:11" ht="25.5" x14ac:dyDescent="0.25">
      <c r="A37" s="6" t="s">
        <v>462</v>
      </c>
      <c r="B37" s="6" t="s">
        <v>463</v>
      </c>
      <c r="C37" s="6" t="s">
        <v>464</v>
      </c>
      <c r="D37" s="6" t="s">
        <v>465</v>
      </c>
      <c r="E37" s="6" t="s">
        <v>466</v>
      </c>
      <c r="F37" s="15">
        <f>SUMIFS('Products and Samples'!$I$2:$I$128,'Products and Samples'!$A$2:$A$128,$A37)</f>
        <v>117</v>
      </c>
      <c r="G37" s="15">
        <f>SUMIFS('Products and Samples'!$J$2:$J$128,'Products and Samples'!$A$2:$A$128,$A37)</f>
        <v>130</v>
      </c>
      <c r="H37" s="16">
        <f t="shared" si="0"/>
        <v>0.9</v>
      </c>
      <c r="I37" s="16">
        <f t="shared" si="1"/>
        <v>9.9999999999999978E-2</v>
      </c>
      <c r="J37" s="17">
        <v>30</v>
      </c>
      <c r="K37" s="18">
        <f t="shared" si="2"/>
        <v>2.9999999999999991</v>
      </c>
    </row>
    <row r="38" spans="1:11" x14ac:dyDescent="0.25">
      <c r="A38" s="6" t="s">
        <v>472</v>
      </c>
      <c r="B38" s="6" t="s">
        <v>463</v>
      </c>
      <c r="C38" s="6" t="s">
        <v>464</v>
      </c>
      <c r="D38" s="6" t="s">
        <v>473</v>
      </c>
      <c r="E38" s="6" t="s">
        <v>475</v>
      </c>
      <c r="F38" s="15">
        <f>SUMIFS('Products and Samples'!$I$2:$I$128,'Products and Samples'!$A$2:$A$128,$A38)</f>
        <v>51</v>
      </c>
      <c r="G38" s="15">
        <f>SUMIFS('Products and Samples'!$J$2:$J$128,'Products and Samples'!$A$2:$A$128,$A38)</f>
        <v>60</v>
      </c>
      <c r="H38" s="16">
        <f t="shared" si="0"/>
        <v>0.85</v>
      </c>
      <c r="I38" s="16">
        <f t="shared" si="1"/>
        <v>0.15000000000000002</v>
      </c>
      <c r="J38" s="17">
        <v>20</v>
      </c>
      <c r="K38" s="18">
        <f t="shared" si="2"/>
        <v>3.0000000000000004</v>
      </c>
    </row>
    <row r="39" spans="1:11" x14ac:dyDescent="0.25">
      <c r="A39" s="6" t="s">
        <v>480</v>
      </c>
      <c r="B39" s="6" t="s">
        <v>463</v>
      </c>
      <c r="C39" s="6" t="s">
        <v>464</v>
      </c>
      <c r="D39" s="6" t="s">
        <v>481</v>
      </c>
      <c r="E39" s="6" t="s">
        <v>483</v>
      </c>
      <c r="F39" s="15">
        <f>SUMIFS('Products and Samples'!$I$2:$I$128,'Products and Samples'!$A$2:$A$128,$A39)</f>
        <v>20</v>
      </c>
      <c r="G39" s="15">
        <f>SUMIFS('Products and Samples'!$J$2:$J$128,'Products and Samples'!$A$2:$A$128,$A39)</f>
        <v>25</v>
      </c>
      <c r="H39" s="16">
        <f t="shared" si="0"/>
        <v>0.8</v>
      </c>
      <c r="I39" s="16">
        <f t="shared" si="1"/>
        <v>0.19999999999999996</v>
      </c>
      <c r="J39" s="17">
        <v>20</v>
      </c>
      <c r="K39" s="18">
        <f t="shared" si="2"/>
        <v>3.9999999999999991</v>
      </c>
    </row>
    <row r="40" spans="1:11" x14ac:dyDescent="0.25">
      <c r="A40" s="6" t="s">
        <v>488</v>
      </c>
      <c r="B40" s="6" t="s">
        <v>463</v>
      </c>
      <c r="C40" s="6" t="s">
        <v>464</v>
      </c>
      <c r="D40" s="6" t="s">
        <v>489</v>
      </c>
      <c r="E40" s="6" t="s">
        <v>491</v>
      </c>
      <c r="F40" s="15">
        <f>SUMIFS('Products and Samples'!$I$2:$I$128,'Products and Samples'!$A$2:$A$128,$A40)</f>
        <v>21</v>
      </c>
      <c r="G40" s="15">
        <f>SUMIFS('Products and Samples'!$J$2:$J$128,'Products and Samples'!$A$2:$A$128,$A40)</f>
        <v>35</v>
      </c>
      <c r="H40" s="16">
        <f t="shared" si="0"/>
        <v>0.6</v>
      </c>
      <c r="I40" s="16">
        <f t="shared" si="1"/>
        <v>0.4</v>
      </c>
      <c r="J40" s="17">
        <v>30</v>
      </c>
      <c r="K40" s="18">
        <f t="shared" si="2"/>
        <v>12</v>
      </c>
    </row>
    <row r="41" spans="1:11" x14ac:dyDescent="0.25">
      <c r="A41" s="6" t="s">
        <v>497</v>
      </c>
      <c r="B41" s="6" t="s">
        <v>498</v>
      </c>
      <c r="C41" s="6" t="s">
        <v>499</v>
      </c>
      <c r="D41" s="6" t="s">
        <v>500</v>
      </c>
      <c r="E41" s="6" t="s">
        <v>502</v>
      </c>
      <c r="F41" s="15">
        <f>SUMIFS('Products and Samples'!$I$2:$I$128,'Products and Samples'!$A$2:$A$128,$A41)</f>
        <v>46</v>
      </c>
      <c r="G41" s="15">
        <f>SUMIFS('Products and Samples'!$J$2:$J$128,'Products and Samples'!$A$2:$A$128,$A41)</f>
        <v>115</v>
      </c>
      <c r="H41" s="16">
        <f t="shared" si="0"/>
        <v>0.4</v>
      </c>
      <c r="I41" s="16">
        <f t="shared" si="1"/>
        <v>0.6</v>
      </c>
      <c r="J41" s="17">
        <v>30</v>
      </c>
      <c r="K41" s="18">
        <f t="shared" si="2"/>
        <v>18</v>
      </c>
    </row>
    <row r="42" spans="1:11" x14ac:dyDescent="0.25">
      <c r="A42" s="6" t="s">
        <v>508</v>
      </c>
      <c r="B42" s="6" t="s">
        <v>498</v>
      </c>
      <c r="C42" s="6" t="s">
        <v>499</v>
      </c>
      <c r="D42" s="6" t="s">
        <v>509</v>
      </c>
      <c r="E42" s="6" t="s">
        <v>511</v>
      </c>
      <c r="F42" s="15">
        <f>SUMIFS('Products and Samples'!$I$2:$I$128,'Products and Samples'!$A$2:$A$128,$A42)</f>
        <v>69</v>
      </c>
      <c r="G42" s="15">
        <f>SUMIFS('Products and Samples'!$J$2:$J$128,'Products and Samples'!$A$2:$A$128,$A42)</f>
        <v>230</v>
      </c>
      <c r="H42" s="16">
        <f t="shared" si="0"/>
        <v>0.3</v>
      </c>
      <c r="I42" s="16">
        <f t="shared" si="1"/>
        <v>0.7</v>
      </c>
      <c r="J42" s="17">
        <v>20</v>
      </c>
      <c r="K42" s="18">
        <f t="shared" si="2"/>
        <v>14</v>
      </c>
    </row>
    <row r="43" spans="1:11" x14ac:dyDescent="0.25">
      <c r="A43" s="6" t="s">
        <v>516</v>
      </c>
      <c r="B43" s="6" t="s">
        <v>498</v>
      </c>
      <c r="C43" s="6" t="s">
        <v>499</v>
      </c>
      <c r="D43" s="6" t="s">
        <v>359</v>
      </c>
      <c r="E43" s="6" t="s">
        <v>518</v>
      </c>
      <c r="F43" s="15">
        <f>SUMIFS('Products and Samples'!$I$2:$I$128,'Products and Samples'!$A$2:$A$128,$A43)</f>
        <v>502</v>
      </c>
      <c r="G43" s="15">
        <f>SUMIFS('Products and Samples'!$J$2:$J$128,'Products and Samples'!$A$2:$A$128,$A43)</f>
        <v>2008</v>
      </c>
      <c r="H43" s="16">
        <f t="shared" si="0"/>
        <v>0.25</v>
      </c>
      <c r="I43" s="16">
        <f t="shared" si="1"/>
        <v>0.75</v>
      </c>
      <c r="J43" s="17">
        <v>25</v>
      </c>
      <c r="K43" s="18">
        <f t="shared" si="2"/>
        <v>18.75</v>
      </c>
    </row>
    <row r="44" spans="1:11" ht="25.5" x14ac:dyDescent="0.25">
      <c r="A44" s="6" t="s">
        <v>523</v>
      </c>
      <c r="B44" s="6" t="s">
        <v>498</v>
      </c>
      <c r="C44" s="6" t="s">
        <v>499</v>
      </c>
      <c r="D44" s="6" t="s">
        <v>524</v>
      </c>
      <c r="E44" s="6" t="s">
        <v>526</v>
      </c>
      <c r="F44" s="15">
        <f>SUMIFS('Products and Samples'!$I$2:$I$128,'Products and Samples'!$A$2:$A$128,$A44)</f>
        <v>9</v>
      </c>
      <c r="G44" s="15">
        <f>SUMIFS('Products and Samples'!$J$2:$J$128,'Products and Samples'!$A$2:$A$128,$A44)</f>
        <v>60</v>
      </c>
      <c r="H44" s="16">
        <f t="shared" si="0"/>
        <v>0.15</v>
      </c>
      <c r="I44" s="16">
        <f t="shared" si="1"/>
        <v>0.85</v>
      </c>
      <c r="J44" s="17">
        <v>25</v>
      </c>
      <c r="K44" s="18">
        <f t="shared" si="2"/>
        <v>21.25</v>
      </c>
    </row>
    <row r="45" spans="1:11" x14ac:dyDescent="0.25">
      <c r="A45" s="6" t="s">
        <v>531</v>
      </c>
      <c r="B45" s="6" t="s">
        <v>532</v>
      </c>
      <c r="C45" s="6" t="s">
        <v>533</v>
      </c>
      <c r="D45" s="6" t="s">
        <v>534</v>
      </c>
      <c r="E45" s="6" t="s">
        <v>536</v>
      </c>
      <c r="F45" s="15">
        <f>SUMIFS('Products and Samples'!$I$2:$I$128,'Products and Samples'!$A$2:$A$128,$A45)</f>
        <v>45</v>
      </c>
      <c r="G45" s="15">
        <f>SUMIFS('Products and Samples'!$J$2:$J$128,'Products and Samples'!$A$2:$A$128,$A45)</f>
        <v>150</v>
      </c>
      <c r="H45" s="16">
        <f t="shared" si="0"/>
        <v>0.3</v>
      </c>
      <c r="I45" s="16">
        <f t="shared" si="1"/>
        <v>0.7</v>
      </c>
      <c r="J45" s="17">
        <v>30</v>
      </c>
      <c r="K45" s="18">
        <f t="shared" si="2"/>
        <v>21</v>
      </c>
    </row>
    <row r="46" spans="1:11" x14ac:dyDescent="0.25">
      <c r="A46" s="6" t="s">
        <v>542</v>
      </c>
      <c r="B46" s="6" t="s">
        <v>532</v>
      </c>
      <c r="C46" s="6" t="s">
        <v>533</v>
      </c>
      <c r="D46" s="6" t="s">
        <v>543</v>
      </c>
      <c r="E46" s="6" t="s">
        <v>545</v>
      </c>
      <c r="F46" s="15">
        <f>SUMIFS('Products and Samples'!$I$2:$I$128,'Products and Samples'!$A$2:$A$128,$A46)</f>
        <v>682</v>
      </c>
      <c r="G46" s="15">
        <f>SUMIFS('Products and Samples'!$J$2:$J$128,'Products and Samples'!$A$2:$A$128,$A46)</f>
        <v>1100</v>
      </c>
      <c r="H46" s="16">
        <f t="shared" si="0"/>
        <v>0.62</v>
      </c>
      <c r="I46" s="16">
        <f t="shared" si="1"/>
        <v>0.38</v>
      </c>
      <c r="J46" s="17">
        <v>25</v>
      </c>
      <c r="K46" s="18">
        <f t="shared" si="2"/>
        <v>9.5</v>
      </c>
    </row>
    <row r="47" spans="1:11" ht="25.5" x14ac:dyDescent="0.25">
      <c r="A47" s="6" t="s">
        <v>550</v>
      </c>
      <c r="B47" s="6" t="s">
        <v>532</v>
      </c>
      <c r="C47" s="6" t="s">
        <v>533</v>
      </c>
      <c r="D47" s="6" t="s">
        <v>551</v>
      </c>
      <c r="E47" s="6" t="s">
        <v>553</v>
      </c>
      <c r="F47" s="15">
        <f>SUMIFS('Products and Samples'!$I$2:$I$128,'Products and Samples'!$A$2:$A$128,$A47)</f>
        <v>126</v>
      </c>
      <c r="G47" s="15">
        <f>SUMIFS('Products and Samples'!$J$2:$J$128,'Products and Samples'!$A$2:$A$128,$A47)</f>
        <v>180</v>
      </c>
      <c r="H47" s="16">
        <f t="shared" si="0"/>
        <v>0.7</v>
      </c>
      <c r="I47" s="16">
        <f t="shared" si="1"/>
        <v>0.30000000000000004</v>
      </c>
      <c r="J47" s="17">
        <v>20</v>
      </c>
      <c r="K47" s="18">
        <f t="shared" si="2"/>
        <v>6.0000000000000009</v>
      </c>
    </row>
    <row r="48" spans="1:11" x14ac:dyDescent="0.25">
      <c r="A48" s="6" t="s">
        <v>557</v>
      </c>
      <c r="B48" s="6" t="s">
        <v>532</v>
      </c>
      <c r="C48" s="6" t="s">
        <v>533</v>
      </c>
      <c r="D48" s="6" t="s">
        <v>558</v>
      </c>
      <c r="E48" s="6" t="s">
        <v>560</v>
      </c>
      <c r="F48" s="15">
        <f>SUMIFS('Products and Samples'!$I$2:$I$128,'Products and Samples'!$A$2:$A$128,$A48)</f>
        <v>115</v>
      </c>
      <c r="G48" s="15">
        <f>SUMIFS('Products and Samples'!$J$2:$J$128,'Products and Samples'!$A$2:$A$128,$A48)</f>
        <v>250</v>
      </c>
      <c r="H48" s="16">
        <f t="shared" si="0"/>
        <v>0.46</v>
      </c>
      <c r="I48" s="16">
        <f t="shared" si="1"/>
        <v>0.54</v>
      </c>
      <c r="J48" s="17">
        <v>25</v>
      </c>
      <c r="K48" s="18">
        <f t="shared" si="2"/>
        <v>13.5</v>
      </c>
    </row>
    <row r="49" spans="1:11" ht="25.5" x14ac:dyDescent="0.25">
      <c r="A49" s="6" t="s">
        <v>565</v>
      </c>
      <c r="B49" s="6" t="s">
        <v>566</v>
      </c>
      <c r="C49" s="6" t="s">
        <v>567</v>
      </c>
      <c r="D49" s="6" t="s">
        <v>568</v>
      </c>
      <c r="E49" s="6" t="s">
        <v>569</v>
      </c>
      <c r="F49" s="15">
        <f>SUMIFS('Products and Samples'!$I$2:$I$128,'Products and Samples'!$A$2:$A$128,$A49)</f>
        <v>342</v>
      </c>
      <c r="G49" s="15">
        <f>SUMIFS('Products and Samples'!$J$2:$J$128,'Products and Samples'!$A$2:$A$128,$A49)</f>
        <v>475</v>
      </c>
      <c r="H49" s="16">
        <f t="shared" si="0"/>
        <v>0.72</v>
      </c>
      <c r="I49" s="16">
        <f t="shared" si="1"/>
        <v>0.28000000000000003</v>
      </c>
      <c r="J49" s="17">
        <v>25</v>
      </c>
      <c r="K49" s="18">
        <f t="shared" si="2"/>
        <v>7.0000000000000009</v>
      </c>
    </row>
    <row r="50" spans="1:11" x14ac:dyDescent="0.25">
      <c r="A50" s="6" t="s">
        <v>574</v>
      </c>
      <c r="B50" s="6" t="s">
        <v>566</v>
      </c>
      <c r="C50" s="6" t="s">
        <v>567</v>
      </c>
      <c r="D50" s="6" t="s">
        <v>575</v>
      </c>
      <c r="E50" s="6" t="s">
        <v>577</v>
      </c>
      <c r="F50" s="15">
        <f>SUMIFS('Products and Samples'!$I$2:$I$128,'Products and Samples'!$A$2:$A$128,$A50)</f>
        <v>1426</v>
      </c>
      <c r="G50" s="15">
        <f>SUMIFS('Products and Samples'!$J$2:$J$128,'Products and Samples'!$A$2:$A$128,$A50)</f>
        <v>1550</v>
      </c>
      <c r="H50" s="16">
        <f t="shared" si="0"/>
        <v>0.92</v>
      </c>
      <c r="I50" s="16">
        <f t="shared" si="1"/>
        <v>7.999999999999996E-2</v>
      </c>
      <c r="J50" s="17">
        <v>25</v>
      </c>
      <c r="K50" s="18">
        <f t="shared" si="2"/>
        <v>1.9999999999999991</v>
      </c>
    </row>
    <row r="51" spans="1:11" x14ac:dyDescent="0.25">
      <c r="A51" s="6" t="s">
        <v>582</v>
      </c>
      <c r="B51" s="6" t="s">
        <v>566</v>
      </c>
      <c r="C51" s="6" t="s">
        <v>567</v>
      </c>
      <c r="D51" s="6" t="s">
        <v>583</v>
      </c>
      <c r="E51" s="6" t="s">
        <v>585</v>
      </c>
      <c r="F51" s="15">
        <f>SUMIFS('Products and Samples'!$I$2:$I$128,'Products and Samples'!$A$2:$A$128,$A51)</f>
        <v>1419</v>
      </c>
      <c r="G51" s="15">
        <f>SUMIFS('Products and Samples'!$J$2:$J$128,'Products and Samples'!$A$2:$A$128,$A51)</f>
        <v>2150</v>
      </c>
      <c r="H51" s="16">
        <f t="shared" si="0"/>
        <v>0.66</v>
      </c>
      <c r="I51" s="16">
        <f t="shared" si="1"/>
        <v>0.33999999999999997</v>
      </c>
      <c r="J51" s="17">
        <v>25</v>
      </c>
      <c r="K51" s="18">
        <f t="shared" si="2"/>
        <v>8.5</v>
      </c>
    </row>
    <row r="52" spans="1:11" x14ac:dyDescent="0.25">
      <c r="A52" s="6" t="s">
        <v>590</v>
      </c>
      <c r="B52" s="6" t="s">
        <v>566</v>
      </c>
      <c r="C52" s="6" t="s">
        <v>567</v>
      </c>
      <c r="D52" s="6" t="s">
        <v>591</v>
      </c>
      <c r="E52" s="6" t="s">
        <v>593</v>
      </c>
      <c r="F52" s="15">
        <f>SUMIFS('Products and Samples'!$I$2:$I$128,'Products and Samples'!$A$2:$A$128,$A52)</f>
        <v>387</v>
      </c>
      <c r="G52" s="15">
        <f>SUMIFS('Products and Samples'!$J$2:$J$128,'Products and Samples'!$A$2:$A$128,$A52)</f>
        <v>450</v>
      </c>
      <c r="H52" s="16">
        <f t="shared" si="0"/>
        <v>0.86</v>
      </c>
      <c r="I52" s="16">
        <f t="shared" si="1"/>
        <v>0.14000000000000001</v>
      </c>
      <c r="J52" s="17">
        <v>25</v>
      </c>
      <c r="K52" s="18">
        <f t="shared" si="2"/>
        <v>3.5000000000000004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5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ColWidth="8.7109375" defaultRowHeight="15" x14ac:dyDescent="0.25"/>
  <cols>
    <col min="1" max="1" width="5" customWidth="1"/>
    <col min="2" max="2" width="34" customWidth="1"/>
    <col min="3" max="3" width="22" customWidth="1"/>
    <col min="4" max="5" width="12" customWidth="1"/>
    <col min="6" max="6" width="10" customWidth="1"/>
    <col min="7" max="7" width="11" customWidth="1"/>
    <col min="8" max="8" width="10" customWidth="1"/>
    <col min="9" max="9" width="16" customWidth="1"/>
    <col min="10" max="10" width="34" customWidth="1"/>
    <col min="11" max="11" width="10" customWidth="1"/>
    <col min="12" max="12" width="60" customWidth="1"/>
  </cols>
  <sheetData>
    <row r="1" spans="1:12" ht="19.5" x14ac:dyDescent="0.3">
      <c r="A1" s="2" t="s">
        <v>917</v>
      </c>
    </row>
    <row r="2" spans="1:12" x14ac:dyDescent="0.25">
      <c r="A2" s="3" t="s">
        <v>918</v>
      </c>
    </row>
    <row r="5" spans="1:12" ht="38.25" x14ac:dyDescent="0.25">
      <c r="A5" s="5" t="s">
        <v>164</v>
      </c>
      <c r="B5" s="5" t="s">
        <v>165</v>
      </c>
      <c r="C5" s="5" t="s">
        <v>166</v>
      </c>
      <c r="D5" s="5" t="s">
        <v>919</v>
      </c>
      <c r="E5" s="5" t="s">
        <v>920</v>
      </c>
      <c r="F5" s="5" t="s">
        <v>921</v>
      </c>
      <c r="G5" s="5" t="s">
        <v>922</v>
      </c>
      <c r="H5" s="5" t="s">
        <v>923</v>
      </c>
      <c r="I5" s="5" t="s">
        <v>924</v>
      </c>
      <c r="J5" s="5" t="s">
        <v>925</v>
      </c>
      <c r="K5" s="5" t="s">
        <v>926</v>
      </c>
      <c r="L5" s="5" t="s">
        <v>927</v>
      </c>
    </row>
    <row r="6" spans="1:12" x14ac:dyDescent="0.25">
      <c r="A6" s="6">
        <v>1</v>
      </c>
      <c r="B6" s="6" t="s">
        <v>178</v>
      </c>
      <c r="C6" s="6" t="s">
        <v>179</v>
      </c>
      <c r="D6" s="9">
        <f>ROUND(SUMIFS('Normalized Signals'!$K$5:$K$52,'Normalized Signals'!$C$5:$C$52,C6),2)</f>
        <v>47</v>
      </c>
      <c r="E6" s="17">
        <v>47</v>
      </c>
      <c r="F6" s="6" t="str">
        <f t="shared" ref="F6:F18" si="0">IF(ABS(D6-E6)&lt;0.005,"OK","MISMATCH")</f>
        <v>OK</v>
      </c>
      <c r="G6" s="6" t="str">
        <f t="shared" ref="G6:G18" si="1">IF(D6&gt;=$B$23,"critical",IF(D6&gt;=$B$22,"high",IF(D6&gt;=$B$21,"medium","low")))</f>
        <v>medium</v>
      </c>
      <c r="H6" s="6">
        <f t="shared" ref="H6:H17" si="2">RANK(D6,$D$6:$D$17,0)</f>
        <v>6</v>
      </c>
      <c r="I6" s="6" t="str">
        <f t="shared" ref="I6:I17" si="3">IF(H6&lt;=3,"Yes (top 3)","No")</f>
        <v>No</v>
      </c>
      <c r="J6" s="6" t="str">
        <f>INDEX('Normalized Signals'!$D$5:$D$8,MATCH(MAX('Normalized Signals'!$I$5:$I$8),'Normalized Signals'!$I$5:$I$8,0))</f>
        <v>AI Governance</v>
      </c>
      <c r="K6" s="19">
        <f>INDEX('Normalized Signals'!$I$5:$I$8,MATCH(MAX('Normalized Signals'!$I$5:$I$8),'Normalized Signals'!$I$5:$I$8,0))</f>
        <v>0.7</v>
      </c>
      <c r="L6" s="6" t="str">
        <f>INDEX('Normalized Signals'!$E$5:$E$8,MATCH(MAX('Normalized Signals'!$I$5:$I$8),'Normalized Signals'!$I$5:$I$8,0))&amp;": "&amp;TEXT(K6,"0%")&amp;" gap"</f>
        <v>AI use cases with approved policy and named owner: 70% gap</v>
      </c>
    </row>
    <row r="7" spans="1:12" x14ac:dyDescent="0.25">
      <c r="A7" s="6">
        <v>2</v>
      </c>
      <c r="B7" s="6" t="s">
        <v>216</v>
      </c>
      <c r="C7" s="6" t="s">
        <v>217</v>
      </c>
      <c r="D7" s="9">
        <f>ROUND(SUMIFS('Normalized Signals'!$K$5:$K$52,'Normalized Signals'!$C$5:$C$52,C7),2)</f>
        <v>29</v>
      </c>
      <c r="E7" s="17">
        <v>29</v>
      </c>
      <c r="F7" s="6" t="str">
        <f t="shared" si="0"/>
        <v>OK</v>
      </c>
      <c r="G7" s="6" t="str">
        <f t="shared" si="1"/>
        <v>low</v>
      </c>
      <c r="H7" s="6">
        <f t="shared" si="2"/>
        <v>8</v>
      </c>
      <c r="I7" s="6" t="str">
        <f t="shared" si="3"/>
        <v>No</v>
      </c>
      <c r="J7" s="6" t="str">
        <f>INDEX('Normalized Signals'!$D$9:$D$12,MATCH(MAX('Normalized Signals'!$I$9:$I$12),'Normalized Signals'!$I$9:$I$12,0))</f>
        <v>Phishing Simulation</v>
      </c>
      <c r="K7" s="19">
        <f>INDEX('Normalized Signals'!$I$9:$I$12,MATCH(MAX('Normalized Signals'!$I$9:$I$12),'Normalized Signals'!$I$9:$I$12,0))</f>
        <v>0.38</v>
      </c>
      <c r="L7" s="6" t="str">
        <f>INDEX('Normalized Signals'!$E$9:$E$12,MATCH(MAX('Normalized Signals'!$I$9:$I$12),'Normalized Signals'!$I$9:$I$12,0))&amp;": "&amp;TEXT(K7,"0%")&amp;" gap"</f>
        <v>Targeted users who did not click simulated phish: 38% gap</v>
      </c>
    </row>
    <row r="8" spans="1:12" x14ac:dyDescent="0.25">
      <c r="A8" s="6">
        <v>3</v>
      </c>
      <c r="B8" s="6" t="s">
        <v>252</v>
      </c>
      <c r="C8" s="6" t="s">
        <v>253</v>
      </c>
      <c r="D8" s="9">
        <f>ROUND(SUMIFS('Normalized Signals'!$K$5:$K$52,'Normalized Signals'!$C$5:$C$52,C8),2)</f>
        <v>17</v>
      </c>
      <c r="E8" s="17">
        <v>17</v>
      </c>
      <c r="F8" s="6" t="str">
        <f t="shared" si="0"/>
        <v>OK</v>
      </c>
      <c r="G8" s="6" t="str">
        <f t="shared" si="1"/>
        <v>low</v>
      </c>
      <c r="H8" s="6">
        <f t="shared" si="2"/>
        <v>12</v>
      </c>
      <c r="I8" s="6" t="str">
        <f t="shared" si="3"/>
        <v>No</v>
      </c>
      <c r="J8" s="6" t="str">
        <f>INDEX('Normalized Signals'!$D$13:$D$16,MATCH(MAX('Normalized Signals'!$I$13:$I$16),'Normalized Signals'!$I$13:$I$16,0))</f>
        <v>Industrial Firewall / Segmentation</v>
      </c>
      <c r="K8" s="19">
        <f>INDEX('Normalized Signals'!$I$13:$I$16,MATCH(MAX('Normalized Signals'!$I$13:$I$16),'Normalized Signals'!$I$13:$I$16,0))</f>
        <v>0.25</v>
      </c>
      <c r="L8" s="6" t="str">
        <f>INDEX('Normalized Signals'!$E$13:$E$16,MATCH(MAX('Normalized Signals'!$I$13:$I$16),'Normalized Signals'!$I$13:$I$16,0))&amp;": "&amp;TEXT(K8,"0%")&amp;" gap"</f>
        <v>IT/OT conduits with enforced allow-list rules: 25% gap</v>
      </c>
    </row>
    <row r="9" spans="1:12" ht="25.5" x14ac:dyDescent="0.25">
      <c r="A9" s="6">
        <v>4</v>
      </c>
      <c r="B9" s="6" t="s">
        <v>287</v>
      </c>
      <c r="C9" s="6" t="s">
        <v>288</v>
      </c>
      <c r="D9" s="9">
        <f>ROUND(SUMIFS('Normalized Signals'!$K$5:$K$52,'Normalized Signals'!$C$5:$C$52,C9),2)</f>
        <v>65</v>
      </c>
      <c r="E9" s="17">
        <v>65</v>
      </c>
      <c r="F9" s="6" t="str">
        <f t="shared" si="0"/>
        <v>OK</v>
      </c>
      <c r="G9" s="6" t="str">
        <f t="shared" si="1"/>
        <v>high</v>
      </c>
      <c r="H9" s="6">
        <f t="shared" si="2"/>
        <v>3</v>
      </c>
      <c r="I9" s="6" t="str">
        <f t="shared" si="3"/>
        <v>Yes (top 3)</v>
      </c>
      <c r="J9" s="6" t="str">
        <f>INDEX('Normalized Signals'!$D$17:$D$20,MATCH(MAX('Normalized Signals'!$I$17:$I$20),'Normalized Signals'!$I$17:$I$20,0))</f>
        <v>TPRM / GRC</v>
      </c>
      <c r="K9" s="19">
        <f>INDEX('Normalized Signals'!$I$17:$I$20,MATCH(MAX('Normalized Signals'!$I$17:$I$20),'Normalized Signals'!$I$17:$I$20,0))</f>
        <v>0.9</v>
      </c>
      <c r="L9" s="6" t="str">
        <f>INDEX('Normalized Signals'!$E$17:$E$20,MATCH(MAX('Normalized Signals'!$I$17:$I$20),'Normalized Signals'!$I$17:$I$20,0))&amp;": "&amp;TEXT(K9,"0%")&amp;" gap"</f>
        <v>Critical vendors with current assessment (under 12 months): 90% gap</v>
      </c>
    </row>
    <row r="10" spans="1:12" x14ac:dyDescent="0.25">
      <c r="A10" s="6">
        <v>5</v>
      </c>
      <c r="B10" s="6" t="s">
        <v>322</v>
      </c>
      <c r="C10" s="6" t="s">
        <v>323</v>
      </c>
      <c r="D10" s="9">
        <f>ROUND(SUMIFS('Normalized Signals'!$K$5:$K$52,'Normalized Signals'!$C$5:$C$52,C10),2)</f>
        <v>76</v>
      </c>
      <c r="E10" s="17">
        <v>76</v>
      </c>
      <c r="F10" s="6" t="str">
        <f t="shared" si="0"/>
        <v>OK</v>
      </c>
      <c r="G10" s="6" t="str">
        <f t="shared" si="1"/>
        <v>critical</v>
      </c>
      <c r="H10" s="6">
        <f t="shared" si="2"/>
        <v>1</v>
      </c>
      <c r="I10" s="6" t="str">
        <f t="shared" si="3"/>
        <v>Yes (top 3)</v>
      </c>
      <c r="J10" s="6" t="str">
        <f>INDEX('Normalized Signals'!$D$21:$D$24,MATCH(MAX('Normalized Signals'!$I$21:$I$24),'Normalized Signals'!$I$21:$I$24,0))</f>
        <v>Network Vulnerability Scanner</v>
      </c>
      <c r="K10" s="19">
        <f>INDEX('Normalized Signals'!$I$21:$I$24,MATCH(MAX('Normalized Signals'!$I$21:$I$24),'Normalized Signals'!$I$21:$I$24,0))</f>
        <v>0.94</v>
      </c>
      <c r="L10" s="6" t="str">
        <f>INDEX('Normalized Signals'!$E$21:$E$24,MATCH(MAX('Normalized Signals'!$I$21:$I$24),'Normalized Signals'!$I$21:$I$24,0))&amp;": "&amp;TEXT(K10,"0%")&amp;" gap"</f>
        <v>Critical/high vulnerabilities remediated within SLA: 94% gap</v>
      </c>
    </row>
    <row r="11" spans="1:12" x14ac:dyDescent="0.25">
      <c r="A11" s="6">
        <v>6</v>
      </c>
      <c r="B11" s="6" t="s">
        <v>357</v>
      </c>
      <c r="C11" s="6" t="s">
        <v>358</v>
      </c>
      <c r="D11" s="9">
        <f>ROUND(SUMIFS('Normalized Signals'!$K$5:$K$52,'Normalized Signals'!$C$5:$C$52,C11),2)</f>
        <v>54</v>
      </c>
      <c r="E11" s="17">
        <v>54</v>
      </c>
      <c r="F11" s="6" t="str">
        <f t="shared" si="0"/>
        <v>OK</v>
      </c>
      <c r="G11" s="6" t="str">
        <f t="shared" si="1"/>
        <v>medium</v>
      </c>
      <c r="H11" s="6">
        <f t="shared" si="2"/>
        <v>4</v>
      </c>
      <c r="I11" s="6" t="str">
        <f t="shared" si="3"/>
        <v>No</v>
      </c>
      <c r="J11" s="6" t="str">
        <f>INDEX('Normalized Signals'!$D$25:$D$28,MATCH(MAX('Normalized Signals'!$I$25:$I$28),'Normalized Signals'!$I$25:$I$28,0))</f>
        <v>DR / BCP / Recovery Testing</v>
      </c>
      <c r="K11" s="19">
        <f>INDEX('Normalized Signals'!$I$25:$I$28,MATCH(MAX('Normalized Signals'!$I$25:$I$28),'Normalized Signals'!$I$25:$I$28,0))</f>
        <v>0.75</v>
      </c>
      <c r="L11" s="6" t="str">
        <f>INDEX('Normalized Signals'!$E$25:$E$28,MATCH(MAX('Normalized Signals'!$I$25:$I$28),'Normalized Signals'!$I$25:$I$28,0))&amp;": "&amp;TEXT(K11,"0%")&amp;" gap"</f>
        <v>Recovery tests meeting target RTO/RPO: 75% gap</v>
      </c>
    </row>
    <row r="12" spans="1:12" x14ac:dyDescent="0.25">
      <c r="A12" s="6">
        <v>7</v>
      </c>
      <c r="B12" s="6" t="s">
        <v>392</v>
      </c>
      <c r="C12" s="6" t="s">
        <v>393</v>
      </c>
      <c r="D12" s="9">
        <f>ROUND(SUMIFS('Normalized Signals'!$K$5:$K$52,'Normalized Signals'!$C$5:$C$52,C12),2)</f>
        <v>21</v>
      </c>
      <c r="E12" s="17">
        <v>21</v>
      </c>
      <c r="F12" s="6" t="str">
        <f t="shared" si="0"/>
        <v>OK</v>
      </c>
      <c r="G12" s="6" t="str">
        <f t="shared" si="1"/>
        <v>low</v>
      </c>
      <c r="H12" s="6">
        <f t="shared" si="2"/>
        <v>10</v>
      </c>
      <c r="I12" s="6" t="str">
        <f t="shared" si="3"/>
        <v>No</v>
      </c>
      <c r="J12" s="6" t="str">
        <f>INDEX('Normalized Signals'!$D$29:$D$32,MATCH(MAX('Normalized Signals'!$I$29:$I$32),'Normalized Signals'!$I$29:$I$32,0))</f>
        <v>CIEM / Cloud IAM</v>
      </c>
      <c r="K12" s="19">
        <f>INDEX('Normalized Signals'!$I$29:$I$32,MATCH(MAX('Normalized Signals'!$I$29:$I$32),'Normalized Signals'!$I$29:$I$32,0))</f>
        <v>0.36</v>
      </c>
      <c r="L12" s="6" t="str">
        <f>INDEX('Normalized Signals'!$E$29:$E$32,MATCH(MAX('Normalized Signals'!$I$29:$I$32),'Normalized Signals'!$I$29:$I$32,0))&amp;": "&amp;TEXT(K12,"0%")&amp;" gap"</f>
        <v>Cloud identities at least privilege: 36% gap</v>
      </c>
    </row>
    <row r="13" spans="1:12" x14ac:dyDescent="0.25">
      <c r="A13" s="6">
        <v>8</v>
      </c>
      <c r="B13" s="6" t="s">
        <v>428</v>
      </c>
      <c r="C13" s="6" t="s">
        <v>429</v>
      </c>
      <c r="D13" s="9">
        <f>ROUND(SUMIFS('Normalized Signals'!$K$5:$K$52,'Normalized Signals'!$C$5:$C$52,C13),2)</f>
        <v>40</v>
      </c>
      <c r="E13" s="17">
        <v>40</v>
      </c>
      <c r="F13" s="6" t="str">
        <f t="shared" si="0"/>
        <v>OK</v>
      </c>
      <c r="G13" s="6" t="str">
        <f t="shared" si="1"/>
        <v>medium</v>
      </c>
      <c r="H13" s="6">
        <f t="shared" si="2"/>
        <v>7</v>
      </c>
      <c r="I13" s="6" t="str">
        <f t="shared" si="3"/>
        <v>No</v>
      </c>
      <c r="J13" s="6" t="str">
        <f>INDEX('Normalized Signals'!$D$33:$D$36,MATCH(MAX('Normalized Signals'!$I$33:$I$36),'Normalized Signals'!$I$33:$I$36,0))</f>
        <v>PAM</v>
      </c>
      <c r="K13" s="19">
        <f>INDEX('Normalized Signals'!$I$33:$I$36,MATCH(MAX('Normalized Signals'!$I$33:$I$36),'Normalized Signals'!$I$33:$I$36,0))</f>
        <v>0.62</v>
      </c>
      <c r="L13" s="6" t="str">
        <f>INDEX('Normalized Signals'!$E$33:$E$36,MATCH(MAX('Normalized Signals'!$I$33:$I$36),'Normalized Signals'!$I$33:$I$36,0))&amp;": "&amp;TEXT(K13,"0%")&amp;" gap"</f>
        <v>Privileged accounts vaulted, rotated and session-recorded: 62% gap</v>
      </c>
    </row>
    <row r="14" spans="1:12" x14ac:dyDescent="0.25">
      <c r="A14" s="6">
        <v>9</v>
      </c>
      <c r="B14" s="6" t="s">
        <v>463</v>
      </c>
      <c r="C14" s="6" t="s">
        <v>464</v>
      </c>
      <c r="D14" s="9">
        <f>ROUND(SUMIFS('Normalized Signals'!$K$5:$K$52,'Normalized Signals'!$C$5:$C$52,C14),2)</f>
        <v>22</v>
      </c>
      <c r="E14" s="17">
        <v>22</v>
      </c>
      <c r="F14" s="6" t="str">
        <f t="shared" si="0"/>
        <v>OK</v>
      </c>
      <c r="G14" s="6" t="str">
        <f t="shared" si="1"/>
        <v>low</v>
      </c>
      <c r="H14" s="6">
        <f t="shared" si="2"/>
        <v>9</v>
      </c>
      <c r="I14" s="6" t="str">
        <f t="shared" si="3"/>
        <v>No</v>
      </c>
      <c r="J14" s="6" t="str">
        <f>INDEX('Normalized Signals'!$D$37:$D$40,MATCH(MAX('Normalized Signals'!$I$37:$I$40),'Normalized Signals'!$I$37:$I$40,0))</f>
        <v>BCP / Crisis Management</v>
      </c>
      <c r="K14" s="19">
        <f>INDEX('Normalized Signals'!$I$37:$I$40,MATCH(MAX('Normalized Signals'!$I$37:$I$40),'Normalized Signals'!$I$37:$I$40,0))</f>
        <v>0.4</v>
      </c>
      <c r="L14" s="6" t="str">
        <f>INDEX('Normalized Signals'!$E$37:$E$40,MATCH(MAX('Normalized Signals'!$I$37:$I$40),'Normalized Signals'!$I$37:$I$40,0))&amp;": "&amp;TEXT(K14,"0%")&amp;" gap"</f>
        <v>Critical processes with a tested continuity plan: 40% gap</v>
      </c>
    </row>
    <row r="15" spans="1:12" ht="25.5" x14ac:dyDescent="0.25">
      <c r="A15" s="6">
        <v>10</v>
      </c>
      <c r="B15" s="6" t="s">
        <v>498</v>
      </c>
      <c r="C15" s="6" t="s">
        <v>499</v>
      </c>
      <c r="D15" s="9">
        <f>ROUND(SUMIFS('Normalized Signals'!$K$5:$K$52,'Normalized Signals'!$C$5:$C$52,C15),2)</f>
        <v>72</v>
      </c>
      <c r="E15" s="17">
        <v>72</v>
      </c>
      <c r="F15" s="6" t="str">
        <f t="shared" si="0"/>
        <v>OK</v>
      </c>
      <c r="G15" s="6" t="str">
        <f t="shared" si="1"/>
        <v>critical</v>
      </c>
      <c r="H15" s="6">
        <f t="shared" si="2"/>
        <v>2</v>
      </c>
      <c r="I15" s="6" t="str">
        <f t="shared" si="3"/>
        <v>Yes (top 3)</v>
      </c>
      <c r="J15" s="6" t="str">
        <f>INDEX('Normalized Signals'!$D$41:$D$44,MATCH(MAX('Normalized Signals'!$I$41:$I$44),'Normalized Signals'!$I$41:$I$44,0))</f>
        <v>NDR / UEBA / Threat Intelligence</v>
      </c>
      <c r="K15" s="19">
        <f>INDEX('Normalized Signals'!$I$41:$I$44,MATCH(MAX('Normalized Signals'!$I$41:$I$44),'Normalized Signals'!$I$41:$I$44,0))</f>
        <v>0.85</v>
      </c>
      <c r="L15" s="6" t="str">
        <f>INDEX('Normalized Signals'!$E$41:$E$44,MATCH(MAX('Normalized Signals'!$I$41:$I$44),'Normalized Signals'!$I$41:$I$44,0))&amp;": "&amp;TEXT(K15,"0%")&amp;" gap"</f>
        <v>Network segments and identities covered by anomaly detection with threat intel: 85% gap</v>
      </c>
    </row>
    <row r="16" spans="1:12" x14ac:dyDescent="0.25">
      <c r="A16" s="6">
        <v>11</v>
      </c>
      <c r="B16" s="6" t="s">
        <v>532</v>
      </c>
      <c r="C16" s="6" t="s">
        <v>533</v>
      </c>
      <c r="D16" s="9">
        <f>ROUND(SUMIFS('Normalized Signals'!$K$5:$K$52,'Normalized Signals'!$C$5:$C$52,C16),2)</f>
        <v>50</v>
      </c>
      <c r="E16" s="17">
        <v>50</v>
      </c>
      <c r="F16" s="6" t="str">
        <f t="shared" si="0"/>
        <v>OK</v>
      </c>
      <c r="G16" s="6" t="str">
        <f t="shared" si="1"/>
        <v>medium</v>
      </c>
      <c r="H16" s="6">
        <f t="shared" si="2"/>
        <v>5</v>
      </c>
      <c r="I16" s="6" t="str">
        <f t="shared" si="3"/>
        <v>No</v>
      </c>
      <c r="J16" s="6" t="str">
        <f>INDEX('Normalized Signals'!$D$45:$D$48,MATCH(MAX('Normalized Signals'!$I$45:$I$48),'Normalized Signals'!$I$45:$I$48,0))</f>
        <v>Data Discovery / Classification</v>
      </c>
      <c r="K16" s="19">
        <f>INDEX('Normalized Signals'!$I$45:$I$48,MATCH(MAX('Normalized Signals'!$I$45:$I$48),'Normalized Signals'!$I$45:$I$48,0))</f>
        <v>0.7</v>
      </c>
      <c r="L16" s="6" t="str">
        <f>INDEX('Normalized Signals'!$E$45:$E$48,MATCH(MAX('Normalized Signals'!$I$45:$I$48),'Normalized Signals'!$I$45:$I$48,0))&amp;": "&amp;TEXT(K16,"0%")&amp;" gap"</f>
        <v>Data stores scanned and classified: 70% gap</v>
      </c>
    </row>
    <row r="17" spans="1:12" x14ac:dyDescent="0.25">
      <c r="A17" s="6">
        <v>12</v>
      </c>
      <c r="B17" s="6" t="s">
        <v>566</v>
      </c>
      <c r="C17" s="6" t="s">
        <v>567</v>
      </c>
      <c r="D17" s="9">
        <f>ROUND(SUMIFS('Normalized Signals'!$K$5:$K$52,'Normalized Signals'!$C$5:$C$52,C17),2)</f>
        <v>21</v>
      </c>
      <c r="E17" s="17">
        <v>21</v>
      </c>
      <c r="F17" s="6" t="str">
        <f t="shared" si="0"/>
        <v>OK</v>
      </c>
      <c r="G17" s="6" t="str">
        <f t="shared" si="1"/>
        <v>low</v>
      </c>
      <c r="H17" s="6">
        <f t="shared" si="2"/>
        <v>10</v>
      </c>
      <c r="I17" s="6" t="str">
        <f t="shared" si="3"/>
        <v>No</v>
      </c>
      <c r="J17" s="6" t="str">
        <f>INDEX('Normalized Signals'!$D$49:$D$52,MATCH(MAX('Normalized Signals'!$I$49:$I$52),'Normalized Signals'!$I$49:$I$52,0))</f>
        <v>Vulnerability / Patch Management</v>
      </c>
      <c r="K17" s="19">
        <f>INDEX('Normalized Signals'!$I$49:$I$52,MATCH(MAX('Normalized Signals'!$I$49:$I$52),'Normalized Signals'!$I$49:$I$52,0))</f>
        <v>0.33999999999999997</v>
      </c>
      <c r="L17" s="6" t="str">
        <f>INDEX('Normalized Signals'!$E$49:$E$52,MATCH(MAX('Normalized Signals'!$I$49:$I$52),'Normalized Signals'!$I$49:$I$52,0))&amp;": "&amp;TEXT(K17,"0%")&amp;" gap"</f>
        <v>Assets patched within SLA: 34% gap</v>
      </c>
    </row>
    <row r="18" spans="1:12" ht="25.5" x14ac:dyDescent="0.25">
      <c r="A18" s="6"/>
      <c r="B18" s="7" t="s">
        <v>928</v>
      </c>
      <c r="C18" s="6"/>
      <c r="D18" s="9">
        <f>ROUND(AVERAGE(D6:D17),2)</f>
        <v>42.83</v>
      </c>
      <c r="E18" s="20">
        <v>42.83</v>
      </c>
      <c r="F18" s="7" t="str">
        <f t="shared" si="0"/>
        <v>OK</v>
      </c>
      <c r="G18" s="7" t="str">
        <f t="shared" si="1"/>
        <v>medium</v>
      </c>
    </row>
    <row r="19" spans="1:12" x14ac:dyDescent="0.25">
      <c r="B19" s="3" t="s">
        <v>929</v>
      </c>
    </row>
    <row r="20" spans="1:12" ht="15.75" x14ac:dyDescent="0.25">
      <c r="A20" s="4" t="s">
        <v>930</v>
      </c>
    </row>
    <row r="21" spans="1:12" x14ac:dyDescent="0.25">
      <c r="A21" s="11" t="s">
        <v>931</v>
      </c>
      <c r="B21" s="21">
        <v>35</v>
      </c>
      <c r="C21" s="3" t="s">
        <v>932</v>
      </c>
    </row>
    <row r="22" spans="1:12" x14ac:dyDescent="0.25">
      <c r="A22" s="11" t="s">
        <v>933</v>
      </c>
      <c r="B22" s="21">
        <v>55</v>
      </c>
    </row>
    <row r="23" spans="1:12" x14ac:dyDescent="0.25">
      <c r="A23" s="11" t="s">
        <v>934</v>
      </c>
      <c r="B23" s="21">
        <v>70</v>
      </c>
    </row>
    <row r="25" spans="1:12" x14ac:dyDescent="0.25">
      <c r="B25" s="3" t="s">
        <v>935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Pipeline Layers</vt:lpstr>
      <vt:lpstr>Categories</vt:lpstr>
      <vt:lpstr>Products and Samples</vt:lpstr>
      <vt:lpstr>Normalized Signals</vt:lpstr>
      <vt:lpstr>Domain Risk Calc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Ramgopal Yarra</cp:lastModifiedBy>
  <cp:revision>0</cp:revision>
  <dcterms:created xsi:type="dcterms:W3CDTF">2026-10-08T09:25:56Z</dcterms:created>
  <dcterms:modified xsi:type="dcterms:W3CDTF">2026-10-08T09:49:51Z</dcterms:modified>
  <dc:language>en-US</dc:language>
</cp:coreProperties>
</file>